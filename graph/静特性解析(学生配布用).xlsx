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マイドライブ\3年\電子・量子工学主専攻実験\themaE\"/>
    </mc:Choice>
  </mc:AlternateContent>
  <xr:revisionPtr revIDLastSave="0" documentId="13_ncr:1_{451639EE-9147-4E50-912D-EB8C05EA195E}" xr6:coauthVersionLast="47" xr6:coauthVersionMax="47" xr10:uidLastSave="{00000000-0000-0000-0000-000000000000}"/>
  <bookViews>
    <workbookView xWindow="22932" yWindow="-108" windowWidth="23256" windowHeight="12456" activeTab="2" xr2:uid="{019D2296-8FAE-42FE-A3FA-C5747DE0698A}"/>
  </bookViews>
  <sheets>
    <sheet name="Si-MOS" sheetId="1" r:id="rId1"/>
    <sheet name="Si-IGBT" sheetId="2" r:id="rId2"/>
    <sheet name="SiC-MOS" sheetId="3" r:id="rId3"/>
    <sheet name="計算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" i="4" l="1"/>
  <c r="O9" i="4"/>
  <c r="O7" i="4"/>
  <c r="L16" i="4"/>
  <c r="L17" i="4" s="1"/>
  <c r="N17" i="4" s="1"/>
  <c r="F4" i="4" s="1"/>
  <c r="L14" i="4"/>
  <c r="L15" i="4" s="1"/>
  <c r="N15" i="4" s="1"/>
  <c r="E4" i="4" s="1"/>
  <c r="L12" i="4"/>
  <c r="L13" i="4" s="1"/>
  <c r="N13" i="4" s="1"/>
  <c r="D4" i="4" s="1"/>
  <c r="L4" i="4"/>
  <c r="L5" i="4" s="1"/>
  <c r="N5" i="4" s="1"/>
  <c r="L8" i="4" l="1"/>
  <c r="L9" i="4" s="1"/>
  <c r="N9" i="4" s="1"/>
  <c r="Q9" i="4" s="1"/>
  <c r="F6" i="4" s="1"/>
  <c r="L6" i="4"/>
  <c r="L7" i="4" s="1"/>
  <c r="N7" i="4" s="1"/>
  <c r="D5" i="4" l="1"/>
  <c r="Q5" i="4"/>
  <c r="D6" i="4" s="1"/>
  <c r="F5" i="4"/>
  <c r="E6" i="4" l="1"/>
  <c r="E5" i="4"/>
</calcChain>
</file>

<file path=xl/sharedStrings.xml><?xml version="1.0" encoding="utf-8"?>
<sst xmlns="http://schemas.openxmlformats.org/spreadsheetml/2006/main" count="96" uniqueCount="32">
  <si>
    <t>Vgs5V</t>
    <phoneticPr fontId="1"/>
  </si>
  <si>
    <t>Vds (V)</t>
    <phoneticPr fontId="1"/>
  </si>
  <si>
    <t>Id (A)</t>
    <phoneticPr fontId="1"/>
  </si>
  <si>
    <t>Vgs8V</t>
    <phoneticPr fontId="1"/>
  </si>
  <si>
    <t>Vgs15V</t>
    <phoneticPr fontId="1"/>
  </si>
  <si>
    <t>Vth</t>
    <phoneticPr fontId="1"/>
  </si>
  <si>
    <t>Vgs (V)</t>
    <phoneticPr fontId="1"/>
  </si>
  <si>
    <t>BV</t>
    <phoneticPr fontId="1"/>
  </si>
  <si>
    <t>Vgs12V</t>
    <phoneticPr fontId="1"/>
  </si>
  <si>
    <t>Silver(Si-MOSFET)</t>
    <phoneticPr fontId="1"/>
  </si>
  <si>
    <t>White(Si-IGBT)</t>
    <phoneticPr fontId="1"/>
  </si>
  <si>
    <t>Yellow(SiC-MOSFET)</t>
    <phoneticPr fontId="1"/>
  </si>
  <si>
    <t>素子耐圧</t>
    <rPh sb="0" eb="4">
      <t>ソシタイアツ</t>
    </rPh>
    <phoneticPr fontId="1"/>
  </si>
  <si>
    <t>[V]</t>
    <phoneticPr fontId="1"/>
  </si>
  <si>
    <t>しきい値電圧</t>
    <rPh sb="3" eb="4">
      <t>チ</t>
    </rPh>
    <rPh sb="4" eb="6">
      <t>デンアツ</t>
    </rPh>
    <phoneticPr fontId="1"/>
  </si>
  <si>
    <t>オン抵抗</t>
    <rPh sb="2" eb="4">
      <t>テイコウ</t>
    </rPh>
    <phoneticPr fontId="1"/>
  </si>
  <si>
    <t>[mΩ]</t>
    <phoneticPr fontId="1"/>
  </si>
  <si>
    <t>規格化オン抵抗</t>
    <rPh sb="0" eb="2">
      <t>キカク</t>
    </rPh>
    <rPh sb="2" eb="3">
      <t>カ</t>
    </rPh>
    <rPh sb="5" eb="7">
      <t>テイコウ</t>
    </rPh>
    <phoneticPr fontId="1"/>
  </si>
  <si>
    <t>[mΩ・cm2]</t>
    <phoneticPr fontId="1"/>
  </si>
  <si>
    <t>Vds</t>
    <phoneticPr fontId="1"/>
  </si>
  <si>
    <t>Id</t>
    <phoneticPr fontId="1"/>
  </si>
  <si>
    <t>Si-MOS</t>
    <phoneticPr fontId="1"/>
  </si>
  <si>
    <t>傾き</t>
    <rPh sb="0" eb="1">
      <t>カタム</t>
    </rPh>
    <phoneticPr fontId="1"/>
  </si>
  <si>
    <t>切片</t>
    <rPh sb="0" eb="2">
      <t>セッペン</t>
    </rPh>
    <phoneticPr fontId="1"/>
  </si>
  <si>
    <t>Id（A)</t>
    <phoneticPr fontId="1"/>
  </si>
  <si>
    <t>抵抗[mΩ]</t>
    <rPh sb="0" eb="2">
      <t>テイコウ</t>
    </rPh>
    <phoneticPr fontId="1"/>
  </si>
  <si>
    <t>活性面積[cm2]</t>
    <rPh sb="0" eb="4">
      <t>カッセイメンセキ</t>
    </rPh>
    <phoneticPr fontId="1"/>
  </si>
  <si>
    <t>規格化オン抵抗</t>
    <rPh sb="0" eb="3">
      <t>キカクカ</t>
    </rPh>
    <rPh sb="5" eb="7">
      <t>テイコウ</t>
    </rPh>
    <phoneticPr fontId="1"/>
  </si>
  <si>
    <t>Si-IGBT</t>
    <phoneticPr fontId="1"/>
  </si>
  <si>
    <t>SiC-MOS</t>
    <phoneticPr fontId="1"/>
  </si>
  <si>
    <t>しきい値電圧の計算(2.5mA)</t>
    <rPh sb="3" eb="4">
      <t>チ</t>
    </rPh>
    <rPh sb="4" eb="6">
      <t>デンアツ</t>
    </rPh>
    <rPh sb="7" eb="9">
      <t>ケイサン</t>
    </rPh>
    <phoneticPr fontId="1"/>
  </si>
  <si>
    <t>オン抵抗の計算(Si-MOS:20A,Si-IGBT:15A, SiC-MOSFET:25A)</t>
    <rPh sb="2" eb="4">
      <t>テイコウ</t>
    </rPh>
    <rPh sb="5" eb="7">
      <t>ケイサン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</si>
</sst>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0" fontId="0" fillId="3" borderId="0" xfId="0" applyFill="1">
      <alignment vertical="center"/>
    </xf>
    <xf numFmtId="11" fontId="0" fillId="0" borderId="0" xfId="0" applyNumberFormat="1">
      <alignment vertical="center"/>
    </xf>
    <xf numFmtId="11" fontId="0" fillId="0" borderId="0" xfId="0" quotePrefix="1" applyNumberFormat="1">
      <alignment vertical="center"/>
    </xf>
    <xf numFmtId="3" fontId="0" fillId="3" borderId="0" xfId="0" applyNumberFormat="1" applyFill="1">
      <alignment vertical="center"/>
    </xf>
    <xf numFmtId="0" fontId="0" fillId="2" borderId="0" xfId="0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997253182644985"/>
          <c:y val="5.0493915067572205E-2"/>
          <c:w val="0.80393354680318085"/>
          <c:h val="0.782401948913314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'Si-MOS'!$I$3:$I$95</c:f>
              <c:numCache>
                <c:formatCode>General</c:formatCode>
                <c:ptCount val="93"/>
                <c:pt idx="0" formatCode="0.00E+00">
                  <c:v>7.8916550000000005E-4</c:v>
                </c:pt>
                <c:pt idx="1">
                  <c:v>4.178047E-2</c:v>
                </c:pt>
                <c:pt idx="2">
                  <c:v>8.7790489999999999E-2</c:v>
                </c:pt>
                <c:pt idx="3">
                  <c:v>0.1361203</c:v>
                </c:pt>
                <c:pt idx="4">
                  <c:v>0.1828313</c:v>
                </c:pt>
                <c:pt idx="5">
                  <c:v>0.22905590000000001</c:v>
                </c:pt>
                <c:pt idx="6">
                  <c:v>0.27474159999999997</c:v>
                </c:pt>
                <c:pt idx="7">
                  <c:v>0.3215075</c:v>
                </c:pt>
                <c:pt idx="8">
                  <c:v>0.3678942</c:v>
                </c:pt>
                <c:pt idx="9">
                  <c:v>0.42312860000000002</c:v>
                </c:pt>
                <c:pt idx="10">
                  <c:v>0.46099420000000002</c:v>
                </c:pt>
                <c:pt idx="11">
                  <c:v>0.50754310000000002</c:v>
                </c:pt>
                <c:pt idx="12">
                  <c:v>0.55565600000000004</c:v>
                </c:pt>
                <c:pt idx="13">
                  <c:v>0.60214999999999996</c:v>
                </c:pt>
                <c:pt idx="14">
                  <c:v>0.64880850000000001</c:v>
                </c:pt>
                <c:pt idx="15">
                  <c:v>0.69465639999999995</c:v>
                </c:pt>
                <c:pt idx="16">
                  <c:v>0.74169160000000001</c:v>
                </c:pt>
                <c:pt idx="17">
                  <c:v>0.78791619999999996</c:v>
                </c:pt>
                <c:pt idx="18">
                  <c:v>0.84778790000000004</c:v>
                </c:pt>
                <c:pt idx="19">
                  <c:v>0.88047500000000001</c:v>
                </c:pt>
                <c:pt idx="20">
                  <c:v>0.92632289999999995</c:v>
                </c:pt>
                <c:pt idx="21">
                  <c:v>0.97411389999999998</c:v>
                </c:pt>
                <c:pt idx="22">
                  <c:v>1.020608</c:v>
                </c:pt>
                <c:pt idx="23">
                  <c:v>1.0669420000000001</c:v>
                </c:pt>
                <c:pt idx="24">
                  <c:v>1.112843</c:v>
                </c:pt>
                <c:pt idx="25">
                  <c:v>1.159716</c:v>
                </c:pt>
                <c:pt idx="26">
                  <c:v>1.2067509999999999</c:v>
                </c:pt>
                <c:pt idx="27">
                  <c:v>1.2723949999999999</c:v>
                </c:pt>
                <c:pt idx="28">
                  <c:v>1.2985009999999999</c:v>
                </c:pt>
                <c:pt idx="29">
                  <c:v>1.3455889999999999</c:v>
                </c:pt>
                <c:pt idx="30">
                  <c:v>1.3933249999999999</c:v>
                </c:pt>
                <c:pt idx="31">
                  <c:v>1.439767</c:v>
                </c:pt>
                <c:pt idx="32">
                  <c:v>1.4860990000000001</c:v>
                </c:pt>
                <c:pt idx="33">
                  <c:v>1.5322709999999999</c:v>
                </c:pt>
                <c:pt idx="34">
                  <c:v>1.579037</c:v>
                </c:pt>
                <c:pt idx="35">
                  <c:v>1.62564</c:v>
                </c:pt>
                <c:pt idx="36">
                  <c:v>1.696677</c:v>
                </c:pt>
                <c:pt idx="37">
                  <c:v>1.716688</c:v>
                </c:pt>
                <c:pt idx="38">
                  <c:v>1.764154</c:v>
                </c:pt>
                <c:pt idx="39">
                  <c:v>1.8109729999999999</c:v>
                </c:pt>
                <c:pt idx="40">
                  <c:v>1.857791</c:v>
                </c:pt>
                <c:pt idx="41">
                  <c:v>1.9044490000000001</c:v>
                </c:pt>
                <c:pt idx="42">
                  <c:v>1.950674</c:v>
                </c:pt>
                <c:pt idx="43">
                  <c:v>1.9963070000000001</c:v>
                </c:pt>
                <c:pt idx="44">
                  <c:v>2.042046</c:v>
                </c:pt>
                <c:pt idx="45">
                  <c:v>2.1201490000000001</c:v>
                </c:pt>
                <c:pt idx="46">
                  <c:v>2.1358990000000002</c:v>
                </c:pt>
                <c:pt idx="47">
                  <c:v>2.1827200000000002</c:v>
                </c:pt>
                <c:pt idx="48">
                  <c:v>2.2290519999999998</c:v>
                </c:pt>
                <c:pt idx="49">
                  <c:v>2.2752240000000001</c:v>
                </c:pt>
                <c:pt idx="50">
                  <c:v>2.3219349999999999</c:v>
                </c:pt>
                <c:pt idx="51">
                  <c:v>2.3688630000000002</c:v>
                </c:pt>
                <c:pt idx="52">
                  <c:v>2.4136299999999999</c:v>
                </c:pt>
                <c:pt idx="53">
                  <c:v>2.4600719999999998</c:v>
                </c:pt>
                <c:pt idx="54">
                  <c:v>2.544</c:v>
                </c:pt>
                <c:pt idx="55">
                  <c:v>2.553763</c:v>
                </c:pt>
                <c:pt idx="56">
                  <c:v>2.6011229999999999</c:v>
                </c:pt>
                <c:pt idx="57">
                  <c:v>2.6473469999999999</c:v>
                </c:pt>
                <c:pt idx="58">
                  <c:v>2.6938960000000001</c:v>
                </c:pt>
                <c:pt idx="59">
                  <c:v>2.7404449999999998</c:v>
                </c:pt>
                <c:pt idx="60">
                  <c:v>2.7869419999999998</c:v>
                </c:pt>
                <c:pt idx="61">
                  <c:v>2.8328419999999999</c:v>
                </c:pt>
                <c:pt idx="62">
                  <c:v>2.879121</c:v>
                </c:pt>
                <c:pt idx="63">
                  <c:v>2.968445</c:v>
                </c:pt>
                <c:pt idx="64">
                  <c:v>2.9722209999999998</c:v>
                </c:pt>
                <c:pt idx="65">
                  <c:v>3.0182310000000001</c:v>
                </c:pt>
                <c:pt idx="66">
                  <c:v>3.0648330000000001</c:v>
                </c:pt>
                <c:pt idx="67">
                  <c:v>3.1118130000000002</c:v>
                </c:pt>
                <c:pt idx="68">
                  <c:v>3.1586340000000002</c:v>
                </c:pt>
                <c:pt idx="69">
                  <c:v>3.2055069999999999</c:v>
                </c:pt>
                <c:pt idx="70">
                  <c:v>3.249736</c:v>
                </c:pt>
                <c:pt idx="71">
                  <c:v>3.2954219999999999</c:v>
                </c:pt>
                <c:pt idx="72">
                  <c:v>3.3887360000000002</c:v>
                </c:pt>
                <c:pt idx="73">
                  <c:v>3.3781099999999999</c:v>
                </c:pt>
                <c:pt idx="74">
                  <c:v>3.4417580000000001</c:v>
                </c:pt>
                <c:pt idx="75">
                  <c:v>3.4919210000000001</c:v>
                </c:pt>
                <c:pt idx="76">
                  <c:v>3.5383629999999999</c:v>
                </c:pt>
                <c:pt idx="77">
                  <c:v>3.5847500000000001</c:v>
                </c:pt>
                <c:pt idx="78">
                  <c:v>3.6301109999999999</c:v>
                </c:pt>
                <c:pt idx="79">
                  <c:v>3.6707809999999998</c:v>
                </c:pt>
                <c:pt idx="80">
                  <c:v>3.7097790000000002</c:v>
                </c:pt>
                <c:pt idx="81">
                  <c:v>3.8043879999999999</c:v>
                </c:pt>
                <c:pt idx="82">
                  <c:v>3.7875580000000002</c:v>
                </c:pt>
                <c:pt idx="83">
                  <c:v>3.8287140000000002</c:v>
                </c:pt>
                <c:pt idx="84">
                  <c:v>3.86863</c:v>
                </c:pt>
                <c:pt idx="85">
                  <c:v>3.908274</c:v>
                </c:pt>
                <c:pt idx="86">
                  <c:v>3.947597</c:v>
                </c:pt>
                <c:pt idx="87">
                  <c:v>3.987403</c:v>
                </c:pt>
                <c:pt idx="88">
                  <c:v>4.0280719999999999</c:v>
                </c:pt>
                <c:pt idx="89">
                  <c:v>4.0671229999999996</c:v>
                </c:pt>
                <c:pt idx="90">
                  <c:v>4.164104</c:v>
                </c:pt>
                <c:pt idx="91">
                  <c:v>4.141667</c:v>
                </c:pt>
                <c:pt idx="92">
                  <c:v>4.1813659999999997</c:v>
                </c:pt>
              </c:numCache>
            </c:numRef>
          </c:xVal>
          <c:yVal>
            <c:numRef>
              <c:f>'Si-MOS'!$J$3:$J$95</c:f>
              <c:numCache>
                <c:formatCode>0.00E+00</c:formatCode>
                <c:ptCount val="93"/>
                <c:pt idx="0">
                  <c:v>1.7054900000000001E-4</c:v>
                </c:pt>
                <c:pt idx="1">
                  <c:v>-7.865909E-6</c:v>
                </c:pt>
                <c:pt idx="2">
                  <c:v>-2.3519829999999998E-6</c:v>
                </c:pt>
                <c:pt idx="3">
                  <c:v>-1.2985979999999999E-5</c:v>
                </c:pt>
                <c:pt idx="4">
                  <c:v>-1.6136800000000001E-5</c:v>
                </c:pt>
                <c:pt idx="5">
                  <c:v>-1.8893759999999999E-5</c:v>
                </c:pt>
                <c:pt idx="6">
                  <c:v>-1.9681469999999999E-5</c:v>
                </c:pt>
                <c:pt idx="7">
                  <c:v>-1.219828E-5</c:v>
                </c:pt>
                <c:pt idx="8">
                  <c:v>-4.3212420000000001E-6</c:v>
                </c:pt>
                <c:pt idx="9">
                  <c:v>-4.7150940000000002E-6</c:v>
                </c:pt>
                <c:pt idx="10">
                  <c:v>-1.5349090000000001E-5</c:v>
                </c:pt>
                <c:pt idx="11">
                  <c:v>-1.8893759999999999E-5</c:v>
                </c:pt>
                <c:pt idx="12">
                  <c:v>-7.4720569999999999E-6</c:v>
                </c:pt>
                <c:pt idx="13">
                  <c:v>-1.731835E-5</c:v>
                </c:pt>
                <c:pt idx="14">
                  <c:v>-1.9681469999999999E-5</c:v>
                </c:pt>
                <c:pt idx="15">
                  <c:v>-1.771221E-5</c:v>
                </c:pt>
                <c:pt idx="16">
                  <c:v>-5.5027979999999996E-6</c:v>
                </c:pt>
                <c:pt idx="17">
                  <c:v>-1.2985979999999999E-5</c:v>
                </c:pt>
                <c:pt idx="18">
                  <c:v>-1.810606E-5</c:v>
                </c:pt>
                <c:pt idx="19">
                  <c:v>-1.9287609999999999E-5</c:v>
                </c:pt>
                <c:pt idx="20">
                  <c:v>-1.180443E-5</c:v>
                </c:pt>
                <c:pt idx="21">
                  <c:v>-7.4720569999999999E-6</c:v>
                </c:pt>
                <c:pt idx="22">
                  <c:v>-1.5349090000000001E-5</c:v>
                </c:pt>
                <c:pt idx="23">
                  <c:v>-2.2044580000000001E-5</c:v>
                </c:pt>
                <c:pt idx="24">
                  <c:v>-1.495524E-5</c:v>
                </c:pt>
                <c:pt idx="25">
                  <c:v>-5.5027979999999996E-6</c:v>
                </c:pt>
                <c:pt idx="26">
                  <c:v>-1.3773689999999999E-5</c:v>
                </c:pt>
                <c:pt idx="27">
                  <c:v>-2.1650730000000001E-5</c:v>
                </c:pt>
                <c:pt idx="28">
                  <c:v>-9.0474650000000003E-6</c:v>
                </c:pt>
                <c:pt idx="29">
                  <c:v>-6.6843539999999999E-6</c:v>
                </c:pt>
                <c:pt idx="30">
                  <c:v>-1.495524E-5</c:v>
                </c:pt>
                <c:pt idx="31">
                  <c:v>-1.495524E-5</c:v>
                </c:pt>
                <c:pt idx="32">
                  <c:v>-1.8893759999999999E-5</c:v>
                </c:pt>
                <c:pt idx="33">
                  <c:v>-1.456139E-5</c:v>
                </c:pt>
                <c:pt idx="34">
                  <c:v>-1.8893759999999999E-5</c:v>
                </c:pt>
                <c:pt idx="35">
                  <c:v>-1.9287609999999999E-5</c:v>
                </c:pt>
                <c:pt idx="36">
                  <c:v>-1.5742950000000001E-5</c:v>
                </c:pt>
                <c:pt idx="37">
                  <c:v>-1.022902E-5</c:v>
                </c:pt>
                <c:pt idx="38">
                  <c:v>-6.2905010000000004E-6</c:v>
                </c:pt>
                <c:pt idx="39">
                  <c:v>-4.3212420000000001E-6</c:v>
                </c:pt>
                <c:pt idx="40">
                  <c:v>-1.69245E-5</c:v>
                </c:pt>
                <c:pt idx="41">
                  <c:v>-2.0469169999999998E-5</c:v>
                </c:pt>
                <c:pt idx="42">
                  <c:v>-9.4413159999999993E-6</c:v>
                </c:pt>
                <c:pt idx="43">
                  <c:v>-6.6843539999999999E-6</c:v>
                </c:pt>
                <c:pt idx="44">
                  <c:v>-2.0075319999999999E-5</c:v>
                </c:pt>
                <c:pt idx="45">
                  <c:v>-1.771221E-5</c:v>
                </c:pt>
                <c:pt idx="46">
                  <c:v>-1.771221E-5</c:v>
                </c:pt>
                <c:pt idx="47">
                  <c:v>-6.2905010000000004E-6</c:v>
                </c:pt>
                <c:pt idx="48">
                  <c:v>-1.456139E-5</c:v>
                </c:pt>
                <c:pt idx="49">
                  <c:v>-1.810606E-5</c:v>
                </c:pt>
                <c:pt idx="50">
                  <c:v>-1.456139E-5</c:v>
                </c:pt>
                <c:pt idx="51">
                  <c:v>-7.865909E-6</c:v>
                </c:pt>
                <c:pt idx="52">
                  <c:v>-7.4720569999999999E-6</c:v>
                </c:pt>
                <c:pt idx="53">
                  <c:v>-1.6530650000000001E-5</c:v>
                </c:pt>
                <c:pt idx="54">
                  <c:v>-1.6530650000000001E-5</c:v>
                </c:pt>
                <c:pt idx="55">
                  <c:v>-2.7458349999999999E-6</c:v>
                </c:pt>
                <c:pt idx="56">
                  <c:v>-1.1410580000000001E-5</c:v>
                </c:pt>
                <c:pt idx="57">
                  <c:v>-1.495524E-5</c:v>
                </c:pt>
                <c:pt idx="58">
                  <c:v>2.3742399999999999E-6</c:v>
                </c:pt>
                <c:pt idx="59">
                  <c:v>-4.7150940000000002E-6</c:v>
                </c:pt>
                <c:pt idx="60">
                  <c:v>1.8916020000000001E-5</c:v>
                </c:pt>
                <c:pt idx="61">
                  <c:v>1.4189799999999999E-5</c:v>
                </c:pt>
                <c:pt idx="62">
                  <c:v>5.396884E-5</c:v>
                </c:pt>
                <c:pt idx="63">
                  <c:v>6.8935210000000004E-5</c:v>
                </c:pt>
                <c:pt idx="64">
                  <c:v>1.406162E-4</c:v>
                </c:pt>
                <c:pt idx="65">
                  <c:v>2.079649E-4</c:v>
                </c:pt>
                <c:pt idx="66">
                  <c:v>3.6156719999999999E-4</c:v>
                </c:pt>
                <c:pt idx="67">
                  <c:v>5.6479480000000003E-4</c:v>
                </c:pt>
                <c:pt idx="68">
                  <c:v>9.2950159999999999E-4</c:v>
                </c:pt>
                <c:pt idx="69" formatCode="General">
                  <c:v>1.4738049999999999E-3</c:v>
                </c:pt>
                <c:pt idx="70" formatCode="General">
                  <c:v>2.3048320000000001E-3</c:v>
                </c:pt>
                <c:pt idx="71" formatCode="General">
                  <c:v>3.5553120000000001E-3</c:v>
                </c:pt>
                <c:pt idx="72" formatCode="General">
                  <c:v>5.4284720000000002E-3</c:v>
                </c:pt>
                <c:pt idx="73" formatCode="General">
                  <c:v>7.3469240000000003E-3</c:v>
                </c:pt>
                <c:pt idx="74" formatCode="General">
                  <c:v>7.8286050000000006E-3</c:v>
                </c:pt>
                <c:pt idx="75" formatCode="General">
                  <c:v>7.8408149999999992E-3</c:v>
                </c:pt>
                <c:pt idx="76" formatCode="General">
                  <c:v>7.8612950000000008E-3</c:v>
                </c:pt>
                <c:pt idx="77" formatCode="General">
                  <c:v>7.882956E-3</c:v>
                </c:pt>
                <c:pt idx="78" formatCode="General">
                  <c:v>7.9664530000000001E-3</c:v>
                </c:pt>
                <c:pt idx="79" formatCode="General">
                  <c:v>8.0976060000000002E-3</c:v>
                </c:pt>
                <c:pt idx="80" formatCode="General">
                  <c:v>8.1996139999999992E-3</c:v>
                </c:pt>
                <c:pt idx="81" formatCode="General">
                  <c:v>8.2779900000000007E-3</c:v>
                </c:pt>
                <c:pt idx="82" formatCode="General">
                  <c:v>8.3744839999999997E-3</c:v>
                </c:pt>
                <c:pt idx="83" formatCode="General">
                  <c:v>8.4319860000000007E-3</c:v>
                </c:pt>
                <c:pt idx="84" formatCode="General">
                  <c:v>8.5072120000000001E-3</c:v>
                </c:pt>
                <c:pt idx="85" formatCode="General">
                  <c:v>8.5883460000000002E-3</c:v>
                </c:pt>
                <c:pt idx="86" formatCode="General">
                  <c:v>8.6104010000000002E-3</c:v>
                </c:pt>
                <c:pt idx="87" formatCode="General">
                  <c:v>8.6521500000000008E-3</c:v>
                </c:pt>
                <c:pt idx="88" formatCode="General">
                  <c:v>8.644667E-3</c:v>
                </c:pt>
                <c:pt idx="89" formatCode="General">
                  <c:v>8.7254059999999998E-3</c:v>
                </c:pt>
                <c:pt idx="90" formatCode="General">
                  <c:v>8.7785759999999997E-3</c:v>
                </c:pt>
                <c:pt idx="91" formatCode="General">
                  <c:v>8.8104780000000001E-3</c:v>
                </c:pt>
                <c:pt idx="92" formatCode="General">
                  <c:v>8.7962990000000005E-3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86-44E1-8941-39BFC3336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2317487"/>
        <c:axId val="1402323247"/>
      </c:scatterChart>
      <c:valAx>
        <c:axId val="1402317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Vgs</a:t>
                </a:r>
                <a:r>
                  <a:rPr lang="en-US" altLang="ja-JP" baseline="0"/>
                  <a:t> (V)</a:t>
                </a:r>
                <a:endParaRPr lang="ja-JP" altLang="en-US"/>
              </a:p>
            </c:rich>
          </c:tx>
          <c:layout>
            <c:manualLayout>
              <c:xMode val="edge"/>
              <c:yMode val="edge"/>
              <c:x val="0.48528316784673653"/>
              <c:y val="0.907251678010026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02323247"/>
        <c:crossesAt val="-1.0000000000000002E-3"/>
        <c:crossBetween val="midCat"/>
      </c:valAx>
      <c:valAx>
        <c:axId val="140232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Id</a:t>
                </a:r>
                <a:r>
                  <a:rPr lang="en-US" altLang="ja-JP" baseline="0"/>
                  <a:t> (A)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02317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643653416990545"/>
          <c:y val="5.144082169808472E-2"/>
          <c:w val="0.78443595999510829"/>
          <c:h val="0.7923506724865616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'Si-MOS'!$L$3:$L$73</c:f>
              <c:numCache>
                <c:formatCode>General</c:formatCode>
                <c:ptCount val="71"/>
                <c:pt idx="0">
                  <c:v>8.6413690000000001E-2</c:v>
                </c:pt>
                <c:pt idx="1">
                  <c:v>9.8929829999999992</c:v>
                </c:pt>
                <c:pt idx="2">
                  <c:v>19.888249999999999</c:v>
                </c:pt>
                <c:pt idx="3">
                  <c:v>29.9404</c:v>
                </c:pt>
                <c:pt idx="4">
                  <c:v>39.996099999999998</c:v>
                </c:pt>
                <c:pt idx="5">
                  <c:v>49.993580000000001</c:v>
                </c:pt>
                <c:pt idx="6">
                  <c:v>60.043030000000002</c:v>
                </c:pt>
                <c:pt idx="7">
                  <c:v>70.08999</c:v>
                </c:pt>
                <c:pt idx="8">
                  <c:v>80.096320000000006</c:v>
                </c:pt>
                <c:pt idx="9">
                  <c:v>90.150409999999994</c:v>
                </c:pt>
                <c:pt idx="10">
                  <c:v>100.1992</c:v>
                </c:pt>
                <c:pt idx="11">
                  <c:v>110.19459999999999</c:v>
                </c:pt>
                <c:pt idx="12">
                  <c:v>120.25020000000001</c:v>
                </c:pt>
                <c:pt idx="13">
                  <c:v>130.29669999999999</c:v>
                </c:pt>
                <c:pt idx="14">
                  <c:v>140.31299999999999</c:v>
                </c:pt>
                <c:pt idx="15">
                  <c:v>150.35380000000001</c:v>
                </c:pt>
                <c:pt idx="16">
                  <c:v>160.3982</c:v>
                </c:pt>
                <c:pt idx="17">
                  <c:v>170.4075</c:v>
                </c:pt>
                <c:pt idx="18">
                  <c:v>180.44980000000001</c:v>
                </c:pt>
                <c:pt idx="19">
                  <c:v>190.5153</c:v>
                </c:pt>
                <c:pt idx="20">
                  <c:v>200.5069</c:v>
                </c:pt>
                <c:pt idx="21">
                  <c:v>210.5634</c:v>
                </c:pt>
                <c:pt idx="22">
                  <c:v>220.60900000000001</c:v>
                </c:pt>
                <c:pt idx="23">
                  <c:v>230.6112</c:v>
                </c:pt>
                <c:pt idx="24">
                  <c:v>240.6661</c:v>
                </c:pt>
                <c:pt idx="25">
                  <c:v>250.72120000000001</c:v>
                </c:pt>
                <c:pt idx="26">
                  <c:v>260.71960000000001</c:v>
                </c:pt>
                <c:pt idx="27">
                  <c:v>270.76389999999998</c:v>
                </c:pt>
                <c:pt idx="28">
                  <c:v>280.81540000000001</c:v>
                </c:pt>
                <c:pt idx="29">
                  <c:v>290.82240000000002</c:v>
                </c:pt>
                <c:pt idx="30">
                  <c:v>300.8766</c:v>
                </c:pt>
                <c:pt idx="31">
                  <c:v>310.923</c:v>
                </c:pt>
                <c:pt idx="32">
                  <c:v>320.92219999999998</c:v>
                </c:pt>
                <c:pt idx="33">
                  <c:v>330.96640000000002</c:v>
                </c:pt>
                <c:pt idx="34">
                  <c:v>341.02319999999997</c:v>
                </c:pt>
                <c:pt idx="35">
                  <c:v>351.03030000000001</c:v>
                </c:pt>
                <c:pt idx="36">
                  <c:v>361.07729999999998</c:v>
                </c:pt>
                <c:pt idx="37">
                  <c:v>371.12670000000003</c:v>
                </c:pt>
                <c:pt idx="38">
                  <c:v>381.1207</c:v>
                </c:pt>
                <c:pt idx="39">
                  <c:v>391.17599999999999</c:v>
                </c:pt>
                <c:pt idx="40">
                  <c:v>401.23070000000001</c:v>
                </c:pt>
                <c:pt idx="41">
                  <c:v>411.23289999999997</c:v>
                </c:pt>
                <c:pt idx="42">
                  <c:v>421.27659999999997</c:v>
                </c:pt>
                <c:pt idx="43">
                  <c:v>431.3331</c:v>
                </c:pt>
                <c:pt idx="44">
                  <c:v>441.33280000000002</c:v>
                </c:pt>
                <c:pt idx="45">
                  <c:v>451.38869999999997</c:v>
                </c:pt>
                <c:pt idx="46">
                  <c:v>461.43619999999999</c:v>
                </c:pt>
                <c:pt idx="47">
                  <c:v>471.4434</c:v>
                </c:pt>
                <c:pt idx="48">
                  <c:v>481.48919999999998</c:v>
                </c:pt>
                <c:pt idx="49">
                  <c:v>491.53230000000002</c:v>
                </c:pt>
                <c:pt idx="50">
                  <c:v>501.54649999999998</c:v>
                </c:pt>
                <c:pt idx="51">
                  <c:v>511.59010000000001</c:v>
                </c:pt>
                <c:pt idx="52">
                  <c:v>521.59479999999996</c:v>
                </c:pt>
                <c:pt idx="53">
                  <c:v>531.64250000000004</c:v>
                </c:pt>
                <c:pt idx="54">
                  <c:v>541.69069999999999</c:v>
                </c:pt>
                <c:pt idx="55">
                  <c:v>551.69759999999997</c:v>
                </c:pt>
                <c:pt idx="56">
                  <c:v>561.75319999999999</c:v>
                </c:pt>
                <c:pt idx="57">
                  <c:v>571.79610000000002</c:v>
                </c:pt>
                <c:pt idx="58">
                  <c:v>581.79939999999999</c:v>
                </c:pt>
                <c:pt idx="59">
                  <c:v>591.8442</c:v>
                </c:pt>
                <c:pt idx="60">
                  <c:v>601.89919999999995</c:v>
                </c:pt>
                <c:pt idx="61">
                  <c:v>611.90610000000004</c:v>
                </c:pt>
                <c:pt idx="62">
                  <c:v>621.94989999999996</c:v>
                </c:pt>
                <c:pt idx="63">
                  <c:v>632.00160000000005</c:v>
                </c:pt>
                <c:pt idx="64">
                  <c:v>641.99770000000001</c:v>
                </c:pt>
                <c:pt idx="65">
                  <c:v>652.05430000000001</c:v>
                </c:pt>
                <c:pt idx="66">
                  <c:v>662.10709999999995</c:v>
                </c:pt>
                <c:pt idx="67">
                  <c:v>672.11040000000003</c:v>
                </c:pt>
                <c:pt idx="68">
                  <c:v>677.55820000000006</c:v>
                </c:pt>
                <c:pt idx="69">
                  <c:v>677.64400000000001</c:v>
                </c:pt>
                <c:pt idx="70">
                  <c:v>677.65589999999997</c:v>
                </c:pt>
              </c:numCache>
            </c:numRef>
          </c:xVal>
          <c:yVal>
            <c:numRef>
              <c:f>'Si-MOS'!$M$3:$M$73</c:f>
              <c:numCache>
                <c:formatCode>0.00E+00</c:formatCode>
                <c:ptCount val="71"/>
                <c:pt idx="0">
                  <c:v>-8.1146890000000003E-8</c:v>
                </c:pt>
                <c:pt idx="1">
                  <c:v>2.2455140000000001E-7</c:v>
                </c:pt>
                <c:pt idx="2">
                  <c:v>5.8185730000000002E-8</c:v>
                </c:pt>
                <c:pt idx="3">
                  <c:v>3.1002660000000001E-8</c:v>
                </c:pt>
                <c:pt idx="4">
                  <c:v>1.5786859999999999E-8</c:v>
                </c:pt>
                <c:pt idx="5">
                  <c:v>6.1719639999999999E-9</c:v>
                </c:pt>
                <c:pt idx="6">
                  <c:v>-3.4375950000000001E-10</c:v>
                </c:pt>
                <c:pt idx="7">
                  <c:v>-5.9446679999999997E-9</c:v>
                </c:pt>
                <c:pt idx="8">
                  <c:v>-9.6225980000000004E-9</c:v>
                </c:pt>
                <c:pt idx="9">
                  <c:v>-1.311383E-8</c:v>
                </c:pt>
                <c:pt idx="10">
                  <c:v>-1.610098E-8</c:v>
                </c:pt>
                <c:pt idx="11">
                  <c:v>-1.8322679999999999E-8</c:v>
                </c:pt>
                <c:pt idx="12">
                  <c:v>-2.0973769999999999E-8</c:v>
                </c:pt>
                <c:pt idx="13">
                  <c:v>-2.214996E-8</c:v>
                </c:pt>
                <c:pt idx="14">
                  <c:v>-2.4054270000000002E-8</c:v>
                </c:pt>
                <c:pt idx="15">
                  <c:v>-2.575321E-8</c:v>
                </c:pt>
                <c:pt idx="16">
                  <c:v>-2.6668030000000001E-8</c:v>
                </c:pt>
                <c:pt idx="17">
                  <c:v>-2.8292289999999999E-8</c:v>
                </c:pt>
                <c:pt idx="18">
                  <c:v>-2.9431139999999999E-8</c:v>
                </c:pt>
                <c:pt idx="19">
                  <c:v>-2.9916560000000001E-8</c:v>
                </c:pt>
                <c:pt idx="20">
                  <c:v>-3.0364630000000002E-8</c:v>
                </c:pt>
                <c:pt idx="21">
                  <c:v>-3.1522149999999997E-8</c:v>
                </c:pt>
                <c:pt idx="22">
                  <c:v>-3.2642330000000001E-8</c:v>
                </c:pt>
                <c:pt idx="23">
                  <c:v>-3.3071740000000003E-8</c:v>
                </c:pt>
                <c:pt idx="24">
                  <c:v>-3.2717009999999998E-8</c:v>
                </c:pt>
                <c:pt idx="25">
                  <c:v>-3.3034399999999998E-8</c:v>
                </c:pt>
                <c:pt idx="26">
                  <c:v>-3.4285260000000002E-8</c:v>
                </c:pt>
                <c:pt idx="27">
                  <c:v>-3.4098570000000002E-8</c:v>
                </c:pt>
                <c:pt idx="28">
                  <c:v>-3.5237420000000001E-8</c:v>
                </c:pt>
                <c:pt idx="29">
                  <c:v>-3.5760169999999999E-8</c:v>
                </c:pt>
                <c:pt idx="30">
                  <c:v>-3.566682E-8</c:v>
                </c:pt>
                <c:pt idx="31">
                  <c:v>-3.5853519999999997E-8</c:v>
                </c:pt>
                <c:pt idx="32">
                  <c:v>-3.6394939999999997E-8</c:v>
                </c:pt>
                <c:pt idx="33">
                  <c:v>-3.6152229999999999E-8</c:v>
                </c:pt>
                <c:pt idx="34">
                  <c:v>-3.6674989999999999E-8</c:v>
                </c:pt>
                <c:pt idx="35">
                  <c:v>-3.632026E-8</c:v>
                </c:pt>
                <c:pt idx="36">
                  <c:v>-3.5498800000000002E-8</c:v>
                </c:pt>
                <c:pt idx="37">
                  <c:v>-3.7029710000000002E-8</c:v>
                </c:pt>
                <c:pt idx="38">
                  <c:v>-3.632026E-8</c:v>
                </c:pt>
                <c:pt idx="39">
                  <c:v>-3.6152229999999999E-8</c:v>
                </c:pt>
                <c:pt idx="40">
                  <c:v>-3.6096219999999998E-8</c:v>
                </c:pt>
                <c:pt idx="41">
                  <c:v>-3.732843E-8</c:v>
                </c:pt>
                <c:pt idx="42">
                  <c:v>-3.6786999999999997E-8</c:v>
                </c:pt>
                <c:pt idx="43">
                  <c:v>-3.7365769999999998E-8</c:v>
                </c:pt>
                <c:pt idx="44">
                  <c:v>-3.7216409999999999E-8</c:v>
                </c:pt>
                <c:pt idx="45">
                  <c:v>-3.6973700000000001E-8</c:v>
                </c:pt>
                <c:pt idx="46">
                  <c:v>-3.5760169999999999E-8</c:v>
                </c:pt>
                <c:pt idx="47">
                  <c:v>-3.6768330000000001E-8</c:v>
                </c:pt>
                <c:pt idx="48">
                  <c:v>-3.6936360000000003E-8</c:v>
                </c:pt>
                <c:pt idx="49">
                  <c:v>-3.6413609999999999E-8</c:v>
                </c:pt>
                <c:pt idx="50">
                  <c:v>-3.7496449999999998E-8</c:v>
                </c:pt>
                <c:pt idx="51">
                  <c:v>-3.6301589999999998E-8</c:v>
                </c:pt>
                <c:pt idx="52">
                  <c:v>-3.7309759999999998E-8</c:v>
                </c:pt>
                <c:pt idx="53">
                  <c:v>-3.7421770000000002E-8</c:v>
                </c:pt>
                <c:pt idx="54">
                  <c:v>-3.5984210000000001E-8</c:v>
                </c:pt>
                <c:pt idx="55">
                  <c:v>-3.6394939999999997E-8</c:v>
                </c:pt>
                <c:pt idx="56">
                  <c:v>-3.680567E-8</c:v>
                </c:pt>
                <c:pt idx="57">
                  <c:v>-3.5834850000000001E-8</c:v>
                </c:pt>
                <c:pt idx="58">
                  <c:v>-3.6301589999999998E-8</c:v>
                </c:pt>
                <c:pt idx="59">
                  <c:v>-3.5592139999999997E-8</c:v>
                </c:pt>
                <c:pt idx="60">
                  <c:v>-3.5498800000000002E-8</c:v>
                </c:pt>
                <c:pt idx="61">
                  <c:v>-3.5610809999999999E-8</c:v>
                </c:pt>
                <c:pt idx="62">
                  <c:v>-3.5797510000000003E-8</c:v>
                </c:pt>
                <c:pt idx="63">
                  <c:v>-3.5648149999999998E-8</c:v>
                </c:pt>
                <c:pt idx="64">
                  <c:v>-3.506939E-8</c:v>
                </c:pt>
                <c:pt idx="65">
                  <c:v>-3.5946870000000002E-8</c:v>
                </c:pt>
                <c:pt idx="66">
                  <c:v>-3.5293430000000002E-8</c:v>
                </c:pt>
                <c:pt idx="67">
                  <c:v>-3.4154580000000002E-8</c:v>
                </c:pt>
                <c:pt idx="68">
                  <c:v>4.7664979999999997E-5</c:v>
                </c:pt>
                <c:pt idx="69">
                  <c:v>6.958105E-5</c:v>
                </c:pt>
                <c:pt idx="70">
                  <c:v>8.0747920000000001E-5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8D-401F-AB3B-F4708E441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2265647"/>
        <c:axId val="1402267567"/>
      </c:scatterChart>
      <c:valAx>
        <c:axId val="1402265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Vds</a:t>
                </a:r>
                <a:r>
                  <a:rPr lang="en-US" altLang="ja-JP" baseline="0"/>
                  <a:t> (V)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02267567"/>
        <c:crossesAt val="-1.0000000000000004E-5"/>
        <c:crossBetween val="midCat"/>
      </c:valAx>
      <c:valAx>
        <c:axId val="1402267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Id</a:t>
                </a:r>
                <a:r>
                  <a:rPr lang="en-US" altLang="ja-JP" baseline="0"/>
                  <a:t> (A)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02265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581928376324173"/>
          <c:y val="9.644995857576226E-2"/>
          <c:w val="0.85917622524606074"/>
          <c:h val="0.72252848506994882"/>
        </c:manualLayout>
      </c:layout>
      <c:scatterChart>
        <c:scatterStyle val="lineMarker"/>
        <c:varyColors val="0"/>
        <c:ser>
          <c:idx val="0"/>
          <c:order val="0"/>
          <c:tx>
            <c:v>5 V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'Si-MOS'!$B$3:$B$102</c:f>
              <c:numCache>
                <c:formatCode>General</c:formatCode>
                <c:ptCount val="100"/>
                <c:pt idx="0" formatCode="0.00E+00">
                  <c:v>1.560958E-4</c:v>
                </c:pt>
                <c:pt idx="1">
                  <c:v>7.1732009999999999E-2</c:v>
                </c:pt>
                <c:pt idx="2">
                  <c:v>0.1602674</c:v>
                </c:pt>
                <c:pt idx="3">
                  <c:v>0.24880269999999999</c:v>
                </c:pt>
                <c:pt idx="4">
                  <c:v>0.32763100000000001</c:v>
                </c:pt>
                <c:pt idx="5">
                  <c:v>0.41973670000000002</c:v>
                </c:pt>
                <c:pt idx="6">
                  <c:v>0.50777000000000005</c:v>
                </c:pt>
                <c:pt idx="7">
                  <c:v>0.59496649999999995</c:v>
                </c:pt>
                <c:pt idx="8">
                  <c:v>0.68584489999999998</c:v>
                </c:pt>
                <c:pt idx="9">
                  <c:v>0.78252520000000003</c:v>
                </c:pt>
                <c:pt idx="10">
                  <c:v>0.88255289999999997</c:v>
                </c:pt>
                <c:pt idx="11">
                  <c:v>0.97036299999999998</c:v>
                </c:pt>
                <c:pt idx="12">
                  <c:v>1.060405</c:v>
                </c:pt>
                <c:pt idx="13">
                  <c:v>1.150725</c:v>
                </c:pt>
                <c:pt idx="14">
                  <c:v>1.2408779999999999</c:v>
                </c:pt>
                <c:pt idx="15">
                  <c:v>1.333375</c:v>
                </c:pt>
                <c:pt idx="16">
                  <c:v>1.4206829999999999</c:v>
                </c:pt>
                <c:pt idx="17">
                  <c:v>1.51078</c:v>
                </c:pt>
                <c:pt idx="18">
                  <c:v>1.5989249999999999</c:v>
                </c:pt>
                <c:pt idx="19">
                  <c:v>1.704866</c:v>
                </c:pt>
                <c:pt idx="20">
                  <c:v>1.7940149999999999</c:v>
                </c:pt>
                <c:pt idx="21">
                  <c:v>1.8877390000000001</c:v>
                </c:pt>
                <c:pt idx="22">
                  <c:v>1.977948</c:v>
                </c:pt>
                <c:pt idx="23">
                  <c:v>2.0969989999999998</c:v>
                </c:pt>
                <c:pt idx="24">
                  <c:v>2.1612110000000002</c:v>
                </c:pt>
                <c:pt idx="25">
                  <c:v>2.2548789999999999</c:v>
                </c:pt>
                <c:pt idx="26">
                  <c:v>2.3449200000000001</c:v>
                </c:pt>
                <c:pt idx="27">
                  <c:v>2.434348</c:v>
                </c:pt>
                <c:pt idx="28">
                  <c:v>2.5301360000000002</c:v>
                </c:pt>
                <c:pt idx="29">
                  <c:v>2.6240830000000002</c:v>
                </c:pt>
                <c:pt idx="30">
                  <c:v>2.7158540000000002</c:v>
                </c:pt>
                <c:pt idx="31">
                  <c:v>2.808573</c:v>
                </c:pt>
                <c:pt idx="32">
                  <c:v>2.9164110000000001</c:v>
                </c:pt>
                <c:pt idx="33">
                  <c:v>3.0090189999999999</c:v>
                </c:pt>
                <c:pt idx="34">
                  <c:v>3.1004</c:v>
                </c:pt>
                <c:pt idx="35">
                  <c:v>3.1926169999999998</c:v>
                </c:pt>
                <c:pt idx="36">
                  <c:v>3.287903</c:v>
                </c:pt>
                <c:pt idx="37">
                  <c:v>3.3807339999999999</c:v>
                </c:pt>
                <c:pt idx="38">
                  <c:v>3.4733420000000002</c:v>
                </c:pt>
                <c:pt idx="39">
                  <c:v>3.5634389999999998</c:v>
                </c:pt>
                <c:pt idx="40">
                  <c:v>3.6572179999999999</c:v>
                </c:pt>
                <c:pt idx="41">
                  <c:v>3.7514439999999998</c:v>
                </c:pt>
                <c:pt idx="42">
                  <c:v>3.8444430000000001</c:v>
                </c:pt>
                <c:pt idx="43">
                  <c:v>3.937608</c:v>
                </c:pt>
                <c:pt idx="44">
                  <c:v>4.0316109999999998</c:v>
                </c:pt>
                <c:pt idx="45">
                  <c:v>4.1246650000000002</c:v>
                </c:pt>
                <c:pt idx="46">
                  <c:v>4.2733400000000001</c:v>
                </c:pt>
                <c:pt idx="47">
                  <c:v>4.3136739999999998</c:v>
                </c:pt>
                <c:pt idx="48">
                  <c:v>4.4076769999999996</c:v>
                </c:pt>
                <c:pt idx="49">
                  <c:v>4.5003399999999996</c:v>
                </c:pt>
                <c:pt idx="50">
                  <c:v>4.5938410000000003</c:v>
                </c:pt>
                <c:pt idx="51">
                  <c:v>4.6862820000000003</c:v>
                </c:pt>
                <c:pt idx="52">
                  <c:v>4.7812320000000001</c:v>
                </c:pt>
                <c:pt idx="53">
                  <c:v>4.8745099999999999</c:v>
                </c:pt>
                <c:pt idx="54">
                  <c:v>4.9663930000000001</c:v>
                </c:pt>
                <c:pt idx="55">
                  <c:v>5.0598929999999998</c:v>
                </c:pt>
                <c:pt idx="56">
                  <c:v>5.1520539999999997</c:v>
                </c:pt>
                <c:pt idx="57">
                  <c:v>5.2468940000000002</c:v>
                </c:pt>
                <c:pt idx="58">
                  <c:v>5.3392790000000003</c:v>
                </c:pt>
                <c:pt idx="59">
                  <c:v>5.435289</c:v>
                </c:pt>
                <c:pt idx="60">
                  <c:v>5.5281209999999996</c:v>
                </c:pt>
                <c:pt idx="61">
                  <c:v>5.6195570000000004</c:v>
                </c:pt>
                <c:pt idx="62">
                  <c:v>5.7137830000000003</c:v>
                </c:pt>
                <c:pt idx="63">
                  <c:v>5.807785</c:v>
                </c:pt>
                <c:pt idx="64">
                  <c:v>5.9041870000000003</c:v>
                </c:pt>
                <c:pt idx="65">
                  <c:v>5.9973520000000002</c:v>
                </c:pt>
                <c:pt idx="66">
                  <c:v>6.09063</c:v>
                </c:pt>
                <c:pt idx="67">
                  <c:v>6.1839630000000003</c:v>
                </c:pt>
                <c:pt idx="68">
                  <c:v>6.278467</c:v>
                </c:pt>
                <c:pt idx="69">
                  <c:v>6.4525810000000003</c:v>
                </c:pt>
                <c:pt idx="70">
                  <c:v>6.4658030000000002</c:v>
                </c:pt>
                <c:pt idx="71">
                  <c:v>6.5586900000000004</c:v>
                </c:pt>
                <c:pt idx="72">
                  <c:v>6.652692</c:v>
                </c:pt>
                <c:pt idx="73">
                  <c:v>6.7467509999999997</c:v>
                </c:pt>
                <c:pt idx="74">
                  <c:v>6.8380200000000002</c:v>
                </c:pt>
                <c:pt idx="75">
                  <c:v>6.9330259999999999</c:v>
                </c:pt>
                <c:pt idx="76">
                  <c:v>7.0260809999999996</c:v>
                </c:pt>
                <c:pt idx="77">
                  <c:v>7.1222029999999998</c:v>
                </c:pt>
                <c:pt idx="78">
                  <c:v>7.216596</c:v>
                </c:pt>
                <c:pt idx="79">
                  <c:v>7.308535</c:v>
                </c:pt>
                <c:pt idx="80">
                  <c:v>7.4028720000000003</c:v>
                </c:pt>
                <c:pt idx="81">
                  <c:v>7.4977109999999998</c:v>
                </c:pt>
                <c:pt idx="82">
                  <c:v>7.5902079999999996</c:v>
                </c:pt>
                <c:pt idx="83">
                  <c:v>7.6825919999999996</c:v>
                </c:pt>
                <c:pt idx="84">
                  <c:v>7.7773199999999996</c:v>
                </c:pt>
                <c:pt idx="85">
                  <c:v>7.8727169999999997</c:v>
                </c:pt>
                <c:pt idx="86">
                  <c:v>7.9655490000000002</c:v>
                </c:pt>
                <c:pt idx="87">
                  <c:v>8.0597740000000009</c:v>
                </c:pt>
                <c:pt idx="88">
                  <c:v>8.1525499999999997</c:v>
                </c:pt>
                <c:pt idx="89">
                  <c:v>8.2470540000000003</c:v>
                </c:pt>
                <c:pt idx="90">
                  <c:v>8.3424510000000005</c:v>
                </c:pt>
                <c:pt idx="91">
                  <c:v>8.4371229999999997</c:v>
                </c:pt>
                <c:pt idx="92">
                  <c:v>8.6438170000000003</c:v>
                </c:pt>
                <c:pt idx="93">
                  <c:v>8.6243479999999995</c:v>
                </c:pt>
                <c:pt idx="94">
                  <c:v>8.7175130000000003</c:v>
                </c:pt>
                <c:pt idx="95">
                  <c:v>8.8133009999999992</c:v>
                </c:pt>
                <c:pt idx="96">
                  <c:v>8.9058530000000005</c:v>
                </c:pt>
                <c:pt idx="97">
                  <c:v>9.0013059999999996</c:v>
                </c:pt>
                <c:pt idx="98">
                  <c:v>9.0935790000000001</c:v>
                </c:pt>
                <c:pt idx="99">
                  <c:v>9.190372</c:v>
                </c:pt>
              </c:numCache>
            </c:numRef>
          </c:xVal>
          <c:yVal>
            <c:numRef>
              <c:f>'Si-MOS'!$C$3:$C$102</c:f>
              <c:numCache>
                <c:formatCode>General</c:formatCode>
                <c:ptCount val="100"/>
                <c:pt idx="0">
                  <c:v>-5.6501839999999999E-3</c:v>
                </c:pt>
                <c:pt idx="1">
                  <c:v>0.22691420000000001</c:v>
                </c:pt>
                <c:pt idx="2">
                  <c:v>0.53738929999999996</c:v>
                </c:pt>
                <c:pt idx="3">
                  <c:v>0.82250599999999996</c:v>
                </c:pt>
                <c:pt idx="4">
                  <c:v>1.0981129999999999</c:v>
                </c:pt>
                <c:pt idx="5">
                  <c:v>1.399413</c:v>
                </c:pt>
                <c:pt idx="6">
                  <c:v>1.703381</c:v>
                </c:pt>
                <c:pt idx="7">
                  <c:v>1.9819910000000001</c:v>
                </c:pt>
                <c:pt idx="8">
                  <c:v>2.277952</c:v>
                </c:pt>
                <c:pt idx="9">
                  <c:v>2.6122839999999998</c:v>
                </c:pt>
                <c:pt idx="10">
                  <c:v>2.9369399999999999</c:v>
                </c:pt>
                <c:pt idx="11">
                  <c:v>3.227395</c:v>
                </c:pt>
                <c:pt idx="12">
                  <c:v>3.5100099999999999</c:v>
                </c:pt>
                <c:pt idx="13">
                  <c:v>3.800465</c:v>
                </c:pt>
                <c:pt idx="14">
                  <c:v>4.0975929999999998</c:v>
                </c:pt>
                <c:pt idx="15">
                  <c:v>4.3770379999999998</c:v>
                </c:pt>
                <c:pt idx="16">
                  <c:v>4.6623210000000004</c:v>
                </c:pt>
                <c:pt idx="17">
                  <c:v>4.9269170000000004</c:v>
                </c:pt>
                <c:pt idx="18">
                  <c:v>5.2013559999999996</c:v>
                </c:pt>
                <c:pt idx="19">
                  <c:v>5.526179</c:v>
                </c:pt>
                <c:pt idx="20">
                  <c:v>5.8067909999999996</c:v>
                </c:pt>
                <c:pt idx="21">
                  <c:v>6.08073</c:v>
                </c:pt>
                <c:pt idx="22">
                  <c:v>6.342657</c:v>
                </c:pt>
                <c:pt idx="23">
                  <c:v>6.6956749999999996</c:v>
                </c:pt>
                <c:pt idx="24">
                  <c:v>6.8750200000000001</c:v>
                </c:pt>
                <c:pt idx="25">
                  <c:v>7.1361119999999998</c:v>
                </c:pt>
                <c:pt idx="26">
                  <c:v>7.3947019999999997</c:v>
                </c:pt>
                <c:pt idx="27">
                  <c:v>7.6456179999999998</c:v>
                </c:pt>
                <c:pt idx="28">
                  <c:v>7.8946990000000001</c:v>
                </c:pt>
                <c:pt idx="29">
                  <c:v>8.1467829999999992</c:v>
                </c:pt>
                <c:pt idx="30">
                  <c:v>8.3848529999999997</c:v>
                </c:pt>
                <c:pt idx="31">
                  <c:v>8.6189180000000007</c:v>
                </c:pt>
                <c:pt idx="32">
                  <c:v>8.880846</c:v>
                </c:pt>
                <c:pt idx="33">
                  <c:v>9.1162460000000003</c:v>
                </c:pt>
                <c:pt idx="34">
                  <c:v>9.3274559999999997</c:v>
                </c:pt>
                <c:pt idx="35">
                  <c:v>9.5451730000000001</c:v>
                </c:pt>
                <c:pt idx="36">
                  <c:v>9.7366960000000002</c:v>
                </c:pt>
                <c:pt idx="37">
                  <c:v>9.920712</c:v>
                </c:pt>
                <c:pt idx="38">
                  <c:v>10.09906</c:v>
                </c:pt>
                <c:pt idx="39">
                  <c:v>10.25888</c:v>
                </c:pt>
                <c:pt idx="40">
                  <c:v>10.4152</c:v>
                </c:pt>
                <c:pt idx="41">
                  <c:v>10.549670000000001</c:v>
                </c:pt>
                <c:pt idx="42">
                  <c:v>10.65544</c:v>
                </c:pt>
                <c:pt idx="43">
                  <c:v>10.776400000000001</c:v>
                </c:pt>
                <c:pt idx="44">
                  <c:v>10.86098</c:v>
                </c:pt>
                <c:pt idx="45">
                  <c:v>10.942729999999999</c:v>
                </c:pt>
                <c:pt idx="46">
                  <c:v>11.10572</c:v>
                </c:pt>
                <c:pt idx="47">
                  <c:v>11.03565</c:v>
                </c:pt>
                <c:pt idx="48">
                  <c:v>11.07686</c:v>
                </c:pt>
                <c:pt idx="49">
                  <c:v>11.11173</c:v>
                </c:pt>
                <c:pt idx="50">
                  <c:v>11.16128</c:v>
                </c:pt>
                <c:pt idx="51">
                  <c:v>11.20933</c:v>
                </c:pt>
                <c:pt idx="52">
                  <c:v>11.235849999999999</c:v>
                </c:pt>
                <c:pt idx="53">
                  <c:v>11.275729999999999</c:v>
                </c:pt>
                <c:pt idx="54">
                  <c:v>11.30926</c:v>
                </c:pt>
                <c:pt idx="55">
                  <c:v>11.345459999999999</c:v>
                </c:pt>
                <c:pt idx="56">
                  <c:v>11.379659999999999</c:v>
                </c:pt>
                <c:pt idx="57">
                  <c:v>11.41436</c:v>
                </c:pt>
                <c:pt idx="58">
                  <c:v>11.45257</c:v>
                </c:pt>
                <c:pt idx="59">
                  <c:v>11.47542</c:v>
                </c:pt>
                <c:pt idx="60">
                  <c:v>11.50412</c:v>
                </c:pt>
                <c:pt idx="61">
                  <c:v>11.545159999999999</c:v>
                </c:pt>
                <c:pt idx="62">
                  <c:v>11.572850000000001</c:v>
                </c:pt>
                <c:pt idx="63">
                  <c:v>11.59704</c:v>
                </c:pt>
                <c:pt idx="64">
                  <c:v>11.61256</c:v>
                </c:pt>
                <c:pt idx="65">
                  <c:v>11.639419999999999</c:v>
                </c:pt>
                <c:pt idx="66">
                  <c:v>11.66328</c:v>
                </c:pt>
                <c:pt idx="67">
                  <c:v>11.69848</c:v>
                </c:pt>
                <c:pt idx="68">
                  <c:v>11.712490000000001</c:v>
                </c:pt>
                <c:pt idx="69">
                  <c:v>11.8568</c:v>
                </c:pt>
                <c:pt idx="70">
                  <c:v>11.761710000000001</c:v>
                </c:pt>
                <c:pt idx="71">
                  <c:v>11.787229999999999</c:v>
                </c:pt>
                <c:pt idx="72">
                  <c:v>11.80275</c:v>
                </c:pt>
                <c:pt idx="73">
                  <c:v>11.8201</c:v>
                </c:pt>
                <c:pt idx="74">
                  <c:v>11.84179</c:v>
                </c:pt>
                <c:pt idx="75">
                  <c:v>11.871980000000001</c:v>
                </c:pt>
                <c:pt idx="76">
                  <c:v>11.885999999999999</c:v>
                </c:pt>
                <c:pt idx="77">
                  <c:v>11.8925</c:v>
                </c:pt>
                <c:pt idx="78">
                  <c:v>11.91586</c:v>
                </c:pt>
                <c:pt idx="79">
                  <c:v>11.95106</c:v>
                </c:pt>
                <c:pt idx="80">
                  <c:v>11.95557</c:v>
                </c:pt>
                <c:pt idx="81">
                  <c:v>11.978590000000001</c:v>
                </c:pt>
                <c:pt idx="82">
                  <c:v>11.990600000000001</c:v>
                </c:pt>
                <c:pt idx="83">
                  <c:v>12.015129999999999</c:v>
                </c:pt>
                <c:pt idx="84">
                  <c:v>12.031140000000001</c:v>
                </c:pt>
                <c:pt idx="85">
                  <c:v>12.04115</c:v>
                </c:pt>
                <c:pt idx="86">
                  <c:v>12.074020000000001</c:v>
                </c:pt>
                <c:pt idx="87">
                  <c:v>12.07268</c:v>
                </c:pt>
                <c:pt idx="88">
                  <c:v>12.0852</c:v>
                </c:pt>
                <c:pt idx="89">
                  <c:v>12.09721</c:v>
                </c:pt>
                <c:pt idx="90">
                  <c:v>12.11739</c:v>
                </c:pt>
                <c:pt idx="91">
                  <c:v>12.130739999999999</c:v>
                </c:pt>
                <c:pt idx="92">
                  <c:v>12.230510000000001</c:v>
                </c:pt>
                <c:pt idx="93">
                  <c:v>12.149760000000001</c:v>
                </c:pt>
                <c:pt idx="94">
                  <c:v>12.15643</c:v>
                </c:pt>
                <c:pt idx="95">
                  <c:v>12.1531</c:v>
                </c:pt>
                <c:pt idx="96">
                  <c:v>12.166779999999999</c:v>
                </c:pt>
                <c:pt idx="97">
                  <c:v>12.170780000000001</c:v>
                </c:pt>
                <c:pt idx="98">
                  <c:v>12.170450000000001</c:v>
                </c:pt>
                <c:pt idx="99">
                  <c:v>12.173780000000001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FA-4656-9111-75324B229C94}"/>
            </c:ext>
          </c:extLst>
        </c:ser>
        <c:ser>
          <c:idx val="1"/>
          <c:order val="1"/>
          <c:tx>
            <c:v>8V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'Si-MOS'!$D$3:$D$102</c:f>
              <c:numCache>
                <c:formatCode>General</c:formatCode>
                <c:ptCount val="100"/>
                <c:pt idx="0">
                  <c:v>1.2161629999999999E-3</c:v>
                </c:pt>
                <c:pt idx="1">
                  <c:v>9.0692540000000002E-2</c:v>
                </c:pt>
                <c:pt idx="2">
                  <c:v>0.1835717</c:v>
                </c:pt>
                <c:pt idx="3">
                  <c:v>0.2752793</c:v>
                </c:pt>
                <c:pt idx="4">
                  <c:v>0.36648500000000001</c:v>
                </c:pt>
                <c:pt idx="5">
                  <c:v>0.4582484</c:v>
                </c:pt>
                <c:pt idx="6">
                  <c:v>0.54995609999999995</c:v>
                </c:pt>
                <c:pt idx="7">
                  <c:v>0.64149639999999997</c:v>
                </c:pt>
                <c:pt idx="8">
                  <c:v>0.73242309999999999</c:v>
                </c:pt>
                <c:pt idx="9">
                  <c:v>0.82334980000000002</c:v>
                </c:pt>
                <c:pt idx="10">
                  <c:v>0.91383029999999998</c:v>
                </c:pt>
                <c:pt idx="11">
                  <c:v>1.0050920000000001</c:v>
                </c:pt>
                <c:pt idx="12">
                  <c:v>1.0988629999999999</c:v>
                </c:pt>
                <c:pt idx="13">
                  <c:v>1.1882839999999999</c:v>
                </c:pt>
                <c:pt idx="14">
                  <c:v>1.27843</c:v>
                </c:pt>
                <c:pt idx="15">
                  <c:v>1.3699140000000001</c:v>
                </c:pt>
                <c:pt idx="16">
                  <c:v>1.463295</c:v>
                </c:pt>
                <c:pt idx="17">
                  <c:v>1.5529949999999999</c:v>
                </c:pt>
                <c:pt idx="18">
                  <c:v>1.6453720000000001</c:v>
                </c:pt>
                <c:pt idx="19">
                  <c:v>1.7365219999999999</c:v>
                </c:pt>
                <c:pt idx="20">
                  <c:v>1.824883</c:v>
                </c:pt>
                <c:pt idx="21">
                  <c:v>1.917483</c:v>
                </c:pt>
                <c:pt idx="22">
                  <c:v>2.0096919999999998</c:v>
                </c:pt>
                <c:pt idx="23">
                  <c:v>2.1261679999999998</c:v>
                </c:pt>
                <c:pt idx="24">
                  <c:v>2.1908210000000001</c:v>
                </c:pt>
                <c:pt idx="25">
                  <c:v>2.2826960000000001</c:v>
                </c:pt>
                <c:pt idx="26">
                  <c:v>2.3755190000000002</c:v>
                </c:pt>
                <c:pt idx="27">
                  <c:v>2.4661110000000002</c:v>
                </c:pt>
                <c:pt idx="28">
                  <c:v>2.556368</c:v>
                </c:pt>
                <c:pt idx="29">
                  <c:v>2.6498050000000002</c:v>
                </c:pt>
                <c:pt idx="30">
                  <c:v>2.7403409999999999</c:v>
                </c:pt>
                <c:pt idx="31">
                  <c:v>2.8302640000000001</c:v>
                </c:pt>
                <c:pt idx="32">
                  <c:v>2.921414</c:v>
                </c:pt>
                <c:pt idx="33">
                  <c:v>3.0131220000000001</c:v>
                </c:pt>
                <c:pt idx="34">
                  <c:v>3.1053869999999999</c:v>
                </c:pt>
                <c:pt idx="35">
                  <c:v>3.1948639999999999</c:v>
                </c:pt>
                <c:pt idx="36">
                  <c:v>3.2867389999999999</c:v>
                </c:pt>
                <c:pt idx="37">
                  <c:v>3.3794499999999998</c:v>
                </c:pt>
                <c:pt idx="38">
                  <c:v>3.471158</c:v>
                </c:pt>
                <c:pt idx="39">
                  <c:v>3.5611359999999999</c:v>
                </c:pt>
                <c:pt idx="40">
                  <c:v>3.6519520000000001</c:v>
                </c:pt>
                <c:pt idx="41">
                  <c:v>3.7461139999999999</c:v>
                </c:pt>
                <c:pt idx="42">
                  <c:v>3.8372639999999998</c:v>
                </c:pt>
                <c:pt idx="43">
                  <c:v>3.927019</c:v>
                </c:pt>
                <c:pt idx="44">
                  <c:v>4.0202879999999999</c:v>
                </c:pt>
                <c:pt idx="45">
                  <c:v>4.1108799999999999</c:v>
                </c:pt>
                <c:pt idx="46">
                  <c:v>4.2570880000000004</c:v>
                </c:pt>
                <c:pt idx="47">
                  <c:v>4.292065</c:v>
                </c:pt>
                <c:pt idx="48">
                  <c:v>4.3858360000000003</c:v>
                </c:pt>
                <c:pt idx="49">
                  <c:v>4.4784360000000003</c:v>
                </c:pt>
                <c:pt idx="50">
                  <c:v>4.571148</c:v>
                </c:pt>
                <c:pt idx="51">
                  <c:v>4.6646970000000003</c:v>
                </c:pt>
                <c:pt idx="52">
                  <c:v>4.7564599999999997</c:v>
                </c:pt>
                <c:pt idx="53">
                  <c:v>4.8493389999999996</c:v>
                </c:pt>
                <c:pt idx="54">
                  <c:v>4.9421629999999999</c:v>
                </c:pt>
                <c:pt idx="55">
                  <c:v>5.0361570000000002</c:v>
                </c:pt>
                <c:pt idx="56">
                  <c:v>5.1294269999999997</c:v>
                </c:pt>
                <c:pt idx="57">
                  <c:v>5.2232539999999998</c:v>
                </c:pt>
                <c:pt idx="58">
                  <c:v>5.3159660000000004</c:v>
                </c:pt>
                <c:pt idx="59">
                  <c:v>5.4080640000000004</c:v>
                </c:pt>
                <c:pt idx="60">
                  <c:v>5.503342</c:v>
                </c:pt>
                <c:pt idx="61">
                  <c:v>5.5977269999999999</c:v>
                </c:pt>
                <c:pt idx="62">
                  <c:v>5.6905510000000001</c:v>
                </c:pt>
                <c:pt idx="63">
                  <c:v>5.783709</c:v>
                </c:pt>
                <c:pt idx="64">
                  <c:v>5.876811</c:v>
                </c:pt>
                <c:pt idx="65">
                  <c:v>5.9679609999999998</c:v>
                </c:pt>
                <c:pt idx="66">
                  <c:v>6.060003</c:v>
                </c:pt>
                <c:pt idx="67">
                  <c:v>6.1526589999999999</c:v>
                </c:pt>
                <c:pt idx="68">
                  <c:v>6.2459850000000001</c:v>
                </c:pt>
                <c:pt idx="69">
                  <c:v>6.4217019999999998</c:v>
                </c:pt>
                <c:pt idx="70">
                  <c:v>6.4304040000000002</c:v>
                </c:pt>
                <c:pt idx="71">
                  <c:v>6.5239520000000004</c:v>
                </c:pt>
                <c:pt idx="72">
                  <c:v>6.6180029999999999</c:v>
                </c:pt>
                <c:pt idx="73">
                  <c:v>6.7106589999999997</c:v>
                </c:pt>
                <c:pt idx="74">
                  <c:v>6.8033149999999996</c:v>
                </c:pt>
                <c:pt idx="75">
                  <c:v>6.8988719999999999</c:v>
                </c:pt>
                <c:pt idx="76">
                  <c:v>6.9907469999999998</c:v>
                </c:pt>
                <c:pt idx="77">
                  <c:v>7.0831239999999998</c:v>
                </c:pt>
                <c:pt idx="78">
                  <c:v>7.1747199999999998</c:v>
                </c:pt>
                <c:pt idx="79">
                  <c:v>7.2677110000000003</c:v>
                </c:pt>
                <c:pt idx="80">
                  <c:v>7.3596969999999997</c:v>
                </c:pt>
                <c:pt idx="81">
                  <c:v>7.4565929999999998</c:v>
                </c:pt>
                <c:pt idx="82">
                  <c:v>7.5511460000000001</c:v>
                </c:pt>
                <c:pt idx="83">
                  <c:v>7.6426860000000003</c:v>
                </c:pt>
                <c:pt idx="84">
                  <c:v>7.7377960000000003</c:v>
                </c:pt>
                <c:pt idx="85">
                  <c:v>7.8286110000000004</c:v>
                </c:pt>
                <c:pt idx="86">
                  <c:v>7.9202630000000003</c:v>
                </c:pt>
                <c:pt idx="87">
                  <c:v>8.0127520000000008</c:v>
                </c:pt>
                <c:pt idx="88">
                  <c:v>8.1129940000000005</c:v>
                </c:pt>
                <c:pt idx="89">
                  <c:v>8.2043680000000005</c:v>
                </c:pt>
                <c:pt idx="90">
                  <c:v>8.2960200000000004</c:v>
                </c:pt>
                <c:pt idx="91">
                  <c:v>8.3906279999999995</c:v>
                </c:pt>
                <c:pt idx="92">
                  <c:v>8.5941810000000007</c:v>
                </c:pt>
                <c:pt idx="93">
                  <c:v>8.5784500000000001</c:v>
                </c:pt>
                <c:pt idx="94">
                  <c:v>8.6699909999999996</c:v>
                </c:pt>
                <c:pt idx="95">
                  <c:v>8.7623669999999994</c:v>
                </c:pt>
                <c:pt idx="96">
                  <c:v>8.8575330000000001</c:v>
                </c:pt>
                <c:pt idx="97">
                  <c:v>8.9499110000000002</c:v>
                </c:pt>
                <c:pt idx="98">
                  <c:v>9.0409489999999995</c:v>
                </c:pt>
                <c:pt idx="99">
                  <c:v>9.1342739999999996</c:v>
                </c:pt>
              </c:numCache>
            </c:numRef>
          </c:xVal>
          <c:yVal>
            <c:numRef>
              <c:f>'Si-MOS'!$E$3:$E$102</c:f>
              <c:numCache>
                <c:formatCode>General</c:formatCode>
                <c:ptCount val="100"/>
                <c:pt idx="0">
                  <c:v>-1.0822689999999999E-2</c:v>
                </c:pt>
                <c:pt idx="1">
                  <c:v>0.32182480000000002</c:v>
                </c:pt>
                <c:pt idx="2">
                  <c:v>0.64496339999999996</c:v>
                </c:pt>
                <c:pt idx="3">
                  <c:v>0.97377400000000003</c:v>
                </c:pt>
                <c:pt idx="4">
                  <c:v>1.3052539999999999</c:v>
                </c:pt>
                <c:pt idx="5">
                  <c:v>1.6278919999999999</c:v>
                </c:pt>
                <c:pt idx="6">
                  <c:v>1.9488620000000001</c:v>
                </c:pt>
                <c:pt idx="7">
                  <c:v>2.2738350000000001</c:v>
                </c:pt>
                <c:pt idx="8">
                  <c:v>2.5963069999999999</c:v>
                </c:pt>
                <c:pt idx="9">
                  <c:v>2.9217810000000002</c:v>
                </c:pt>
                <c:pt idx="10">
                  <c:v>3.2460870000000002</c:v>
                </c:pt>
                <c:pt idx="11">
                  <c:v>3.5638869999999998</c:v>
                </c:pt>
                <c:pt idx="12">
                  <c:v>3.8740130000000002</c:v>
                </c:pt>
                <c:pt idx="13">
                  <c:v>4.1941490000000003</c:v>
                </c:pt>
                <c:pt idx="14">
                  <c:v>4.5037750000000001</c:v>
                </c:pt>
                <c:pt idx="15">
                  <c:v>4.8169040000000001</c:v>
                </c:pt>
                <c:pt idx="16">
                  <c:v>5.1255290000000002</c:v>
                </c:pt>
                <c:pt idx="17">
                  <c:v>5.43065</c:v>
                </c:pt>
                <c:pt idx="18">
                  <c:v>5.7347710000000003</c:v>
                </c:pt>
                <c:pt idx="19">
                  <c:v>6.0420610000000003</c:v>
                </c:pt>
                <c:pt idx="20">
                  <c:v>6.3506859999999996</c:v>
                </c:pt>
                <c:pt idx="21">
                  <c:v>6.6469659999999999</c:v>
                </c:pt>
                <c:pt idx="22">
                  <c:v>6.9467489999999996</c:v>
                </c:pt>
                <c:pt idx="23">
                  <c:v>7.3416220000000001</c:v>
                </c:pt>
                <c:pt idx="24">
                  <c:v>7.54765</c:v>
                </c:pt>
                <c:pt idx="25">
                  <c:v>7.8395919999999997</c:v>
                </c:pt>
                <c:pt idx="26">
                  <c:v>8.1338699999999999</c:v>
                </c:pt>
                <c:pt idx="27">
                  <c:v>8.4253119999999999</c:v>
                </c:pt>
                <c:pt idx="28">
                  <c:v>8.7240939999999991</c:v>
                </c:pt>
                <c:pt idx="29">
                  <c:v>9.0043589999999991</c:v>
                </c:pt>
                <c:pt idx="30">
                  <c:v>9.2881269999999994</c:v>
                </c:pt>
                <c:pt idx="31">
                  <c:v>9.5755649999999992</c:v>
                </c:pt>
                <c:pt idx="32">
                  <c:v>9.8611690000000003</c:v>
                </c:pt>
                <c:pt idx="33">
                  <c:v>10.137930000000001</c:v>
                </c:pt>
                <c:pt idx="34">
                  <c:v>10.41269</c:v>
                </c:pt>
                <c:pt idx="35">
                  <c:v>10.698130000000001</c:v>
                </c:pt>
                <c:pt idx="36">
                  <c:v>10.973549999999999</c:v>
                </c:pt>
                <c:pt idx="37">
                  <c:v>11.24231</c:v>
                </c:pt>
                <c:pt idx="38">
                  <c:v>11.518230000000001</c:v>
                </c:pt>
                <c:pt idx="39">
                  <c:v>11.79266</c:v>
                </c:pt>
                <c:pt idx="40">
                  <c:v>12.064920000000001</c:v>
                </c:pt>
                <c:pt idx="41">
                  <c:v>12.331340000000001</c:v>
                </c:pt>
                <c:pt idx="42">
                  <c:v>12.59408</c:v>
                </c:pt>
                <c:pt idx="43">
                  <c:v>12.86401</c:v>
                </c:pt>
                <c:pt idx="44">
                  <c:v>13.12208</c:v>
                </c:pt>
                <c:pt idx="45">
                  <c:v>13.379989999999999</c:v>
                </c:pt>
                <c:pt idx="46">
                  <c:v>13.80973</c:v>
                </c:pt>
                <c:pt idx="47">
                  <c:v>13.89648</c:v>
                </c:pt>
                <c:pt idx="48">
                  <c:v>14.15039</c:v>
                </c:pt>
                <c:pt idx="49">
                  <c:v>14.409129999999999</c:v>
                </c:pt>
                <c:pt idx="50">
                  <c:v>14.66287</c:v>
                </c:pt>
                <c:pt idx="51">
                  <c:v>14.915279999999999</c:v>
                </c:pt>
                <c:pt idx="52">
                  <c:v>15.17902</c:v>
                </c:pt>
                <c:pt idx="53">
                  <c:v>15.42876</c:v>
                </c:pt>
                <c:pt idx="54">
                  <c:v>15.671659999999999</c:v>
                </c:pt>
                <c:pt idx="55">
                  <c:v>15.91822</c:v>
                </c:pt>
                <c:pt idx="56">
                  <c:v>16.170459999999999</c:v>
                </c:pt>
                <c:pt idx="57">
                  <c:v>16.42287</c:v>
                </c:pt>
                <c:pt idx="58">
                  <c:v>16.667100000000001</c:v>
                </c:pt>
                <c:pt idx="59">
                  <c:v>16.907489999999999</c:v>
                </c:pt>
                <c:pt idx="60">
                  <c:v>17.152889999999999</c:v>
                </c:pt>
                <c:pt idx="61">
                  <c:v>17.389949999999999</c:v>
                </c:pt>
                <c:pt idx="62">
                  <c:v>17.621670000000002</c:v>
                </c:pt>
                <c:pt idx="63">
                  <c:v>17.854050000000001</c:v>
                </c:pt>
                <c:pt idx="64">
                  <c:v>18.084099999999999</c:v>
                </c:pt>
                <c:pt idx="65">
                  <c:v>18.31532</c:v>
                </c:pt>
                <c:pt idx="66">
                  <c:v>18.5427</c:v>
                </c:pt>
                <c:pt idx="67">
                  <c:v>18.769079999999999</c:v>
                </c:pt>
                <c:pt idx="68">
                  <c:v>18.996459999999999</c:v>
                </c:pt>
                <c:pt idx="69">
                  <c:v>19.44989</c:v>
                </c:pt>
                <c:pt idx="70">
                  <c:v>19.447559999999999</c:v>
                </c:pt>
                <c:pt idx="71">
                  <c:v>19.670269999999999</c:v>
                </c:pt>
                <c:pt idx="72">
                  <c:v>19.894310000000001</c:v>
                </c:pt>
                <c:pt idx="73">
                  <c:v>20.11035</c:v>
                </c:pt>
                <c:pt idx="74">
                  <c:v>20.335059999999999</c:v>
                </c:pt>
                <c:pt idx="75">
                  <c:v>20.54609</c:v>
                </c:pt>
                <c:pt idx="76">
                  <c:v>20.760459999999998</c:v>
                </c:pt>
                <c:pt idx="77">
                  <c:v>20.971329999999998</c:v>
                </c:pt>
                <c:pt idx="78">
                  <c:v>21.180859999999999</c:v>
                </c:pt>
                <c:pt idx="79">
                  <c:v>21.400069999999999</c:v>
                </c:pt>
                <c:pt idx="80">
                  <c:v>21.605589999999999</c:v>
                </c:pt>
                <c:pt idx="81">
                  <c:v>21.8218</c:v>
                </c:pt>
                <c:pt idx="82">
                  <c:v>22.023820000000001</c:v>
                </c:pt>
                <c:pt idx="83">
                  <c:v>22.22485</c:v>
                </c:pt>
                <c:pt idx="84">
                  <c:v>22.430040000000002</c:v>
                </c:pt>
                <c:pt idx="85">
                  <c:v>22.633230000000001</c:v>
                </c:pt>
                <c:pt idx="86">
                  <c:v>22.828579999999999</c:v>
                </c:pt>
                <c:pt idx="87">
                  <c:v>23.023430000000001</c:v>
                </c:pt>
                <c:pt idx="88">
                  <c:v>23.236139999999999</c:v>
                </c:pt>
                <c:pt idx="89">
                  <c:v>23.436160000000001</c:v>
                </c:pt>
                <c:pt idx="90">
                  <c:v>23.635850000000001</c:v>
                </c:pt>
                <c:pt idx="91">
                  <c:v>23.823519999999998</c:v>
                </c:pt>
                <c:pt idx="92">
                  <c:v>24.293130000000001</c:v>
                </c:pt>
                <c:pt idx="93">
                  <c:v>24.20889</c:v>
                </c:pt>
                <c:pt idx="94">
                  <c:v>24.399570000000001</c:v>
                </c:pt>
                <c:pt idx="95">
                  <c:v>24.591419999999999</c:v>
                </c:pt>
                <c:pt idx="96">
                  <c:v>24.77692</c:v>
                </c:pt>
                <c:pt idx="97">
                  <c:v>24.95693</c:v>
                </c:pt>
                <c:pt idx="98">
                  <c:v>25.151610000000002</c:v>
                </c:pt>
                <c:pt idx="99">
                  <c:v>25.334779999999999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FA-4656-9111-75324B229C94}"/>
            </c:ext>
          </c:extLst>
        </c:ser>
        <c:ser>
          <c:idx val="2"/>
          <c:order val="2"/>
          <c:tx>
            <c:v>15V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'Si-MOS'!$F$3:$F$102</c:f>
              <c:numCache>
                <c:formatCode>General</c:formatCode>
                <c:ptCount val="100"/>
                <c:pt idx="0">
                  <c:v>-1.5730220000000001E-3</c:v>
                </c:pt>
                <c:pt idx="1">
                  <c:v>9.0969149999999999E-2</c:v>
                </c:pt>
                <c:pt idx="2">
                  <c:v>0.181503</c:v>
                </c:pt>
                <c:pt idx="3">
                  <c:v>0.27538380000000001</c:v>
                </c:pt>
                <c:pt idx="4">
                  <c:v>0.36535990000000002</c:v>
                </c:pt>
                <c:pt idx="5">
                  <c:v>0.4597985</c:v>
                </c:pt>
                <c:pt idx="6">
                  <c:v>0.55077869999999995</c:v>
                </c:pt>
                <c:pt idx="7">
                  <c:v>0.64348799999999995</c:v>
                </c:pt>
                <c:pt idx="8">
                  <c:v>0.73285060000000002</c:v>
                </c:pt>
                <c:pt idx="9">
                  <c:v>0.82701020000000003</c:v>
                </c:pt>
                <c:pt idx="10">
                  <c:v>0.91776720000000001</c:v>
                </c:pt>
                <c:pt idx="11">
                  <c:v>1.0086919999999999</c:v>
                </c:pt>
                <c:pt idx="12">
                  <c:v>1.1026279999999999</c:v>
                </c:pt>
                <c:pt idx="13">
                  <c:v>1.194836</c:v>
                </c:pt>
                <c:pt idx="14">
                  <c:v>1.286262</c:v>
                </c:pt>
                <c:pt idx="15">
                  <c:v>1.379418</c:v>
                </c:pt>
                <c:pt idx="16">
                  <c:v>1.4695609999999999</c:v>
                </c:pt>
                <c:pt idx="17">
                  <c:v>1.562438</c:v>
                </c:pt>
                <c:pt idx="18">
                  <c:v>1.654701</c:v>
                </c:pt>
                <c:pt idx="19">
                  <c:v>1.746964</c:v>
                </c:pt>
                <c:pt idx="20">
                  <c:v>1.8361590000000001</c:v>
                </c:pt>
                <c:pt idx="21">
                  <c:v>1.931044</c:v>
                </c:pt>
                <c:pt idx="22">
                  <c:v>2.023809</c:v>
                </c:pt>
                <c:pt idx="23">
                  <c:v>2.1416200000000001</c:v>
                </c:pt>
                <c:pt idx="24">
                  <c:v>2.2081119999999999</c:v>
                </c:pt>
                <c:pt idx="25">
                  <c:v>2.299204</c:v>
                </c:pt>
                <c:pt idx="26">
                  <c:v>2.3894030000000002</c:v>
                </c:pt>
                <c:pt idx="27">
                  <c:v>2.4832839999999998</c:v>
                </c:pt>
                <c:pt idx="28">
                  <c:v>2.5757140000000001</c:v>
                </c:pt>
                <c:pt idx="29">
                  <c:v>2.666639</c:v>
                </c:pt>
                <c:pt idx="30">
                  <c:v>2.7585670000000002</c:v>
                </c:pt>
                <c:pt idx="31">
                  <c:v>2.8492130000000002</c:v>
                </c:pt>
                <c:pt idx="32">
                  <c:v>2.9396909999999998</c:v>
                </c:pt>
                <c:pt idx="33">
                  <c:v>3.031396</c:v>
                </c:pt>
                <c:pt idx="34">
                  <c:v>3.1243289999999999</c:v>
                </c:pt>
                <c:pt idx="35">
                  <c:v>3.2161460000000002</c:v>
                </c:pt>
                <c:pt idx="36">
                  <c:v>3.3087430000000002</c:v>
                </c:pt>
                <c:pt idx="37">
                  <c:v>3.4005040000000002</c:v>
                </c:pt>
                <c:pt idx="38">
                  <c:v>3.4929350000000001</c:v>
                </c:pt>
                <c:pt idx="39">
                  <c:v>3.585086</c:v>
                </c:pt>
                <c:pt idx="40">
                  <c:v>3.676736</c:v>
                </c:pt>
                <c:pt idx="41">
                  <c:v>3.7688320000000002</c:v>
                </c:pt>
                <c:pt idx="42">
                  <c:v>3.8598119999999998</c:v>
                </c:pt>
                <c:pt idx="43">
                  <c:v>3.9516290000000001</c:v>
                </c:pt>
                <c:pt idx="44">
                  <c:v>4.0422180000000001</c:v>
                </c:pt>
                <c:pt idx="45">
                  <c:v>4.1343699999999997</c:v>
                </c:pt>
                <c:pt idx="46">
                  <c:v>4.2816340000000004</c:v>
                </c:pt>
                <c:pt idx="47">
                  <c:v>4.3174460000000003</c:v>
                </c:pt>
                <c:pt idx="48">
                  <c:v>4.4077010000000003</c:v>
                </c:pt>
                <c:pt idx="49">
                  <c:v>4.499797</c:v>
                </c:pt>
                <c:pt idx="50">
                  <c:v>4.591558</c:v>
                </c:pt>
                <c:pt idx="51">
                  <c:v>4.6827610000000002</c:v>
                </c:pt>
                <c:pt idx="52">
                  <c:v>4.7761959999999997</c:v>
                </c:pt>
                <c:pt idx="53">
                  <c:v>4.8682910000000001</c:v>
                </c:pt>
                <c:pt idx="54">
                  <c:v>4.9602199999999996</c:v>
                </c:pt>
                <c:pt idx="55">
                  <c:v>5.0525950000000002</c:v>
                </c:pt>
                <c:pt idx="56">
                  <c:v>5.1437419999999996</c:v>
                </c:pt>
                <c:pt idx="57">
                  <c:v>5.235894</c:v>
                </c:pt>
                <c:pt idx="58">
                  <c:v>5.3298860000000001</c:v>
                </c:pt>
                <c:pt idx="59">
                  <c:v>5.4227619999999996</c:v>
                </c:pt>
                <c:pt idx="60">
                  <c:v>5.5127389999999998</c:v>
                </c:pt>
                <c:pt idx="61">
                  <c:v>5.6061730000000001</c:v>
                </c:pt>
                <c:pt idx="62">
                  <c:v>5.7007789999999998</c:v>
                </c:pt>
                <c:pt idx="63">
                  <c:v>5.7912569999999999</c:v>
                </c:pt>
                <c:pt idx="64">
                  <c:v>5.8830179999999999</c:v>
                </c:pt>
                <c:pt idx="65">
                  <c:v>5.9774570000000002</c:v>
                </c:pt>
                <c:pt idx="66">
                  <c:v>6.0699990000000001</c:v>
                </c:pt>
                <c:pt idx="67">
                  <c:v>6.1621499999999996</c:v>
                </c:pt>
                <c:pt idx="68">
                  <c:v>6.2538</c:v>
                </c:pt>
                <c:pt idx="69">
                  <c:v>6.431298</c:v>
                </c:pt>
                <c:pt idx="70">
                  <c:v>6.4396100000000001</c:v>
                </c:pt>
                <c:pt idx="71">
                  <c:v>6.5325420000000003</c:v>
                </c:pt>
                <c:pt idx="72">
                  <c:v>6.6258090000000003</c:v>
                </c:pt>
                <c:pt idx="73">
                  <c:v>6.7177379999999998</c:v>
                </c:pt>
                <c:pt idx="74">
                  <c:v>6.8108370000000003</c:v>
                </c:pt>
                <c:pt idx="75">
                  <c:v>6.9052199999999999</c:v>
                </c:pt>
                <c:pt idx="76">
                  <c:v>6.9978740000000004</c:v>
                </c:pt>
                <c:pt idx="77">
                  <c:v>7.0873480000000004</c:v>
                </c:pt>
                <c:pt idx="78">
                  <c:v>7.1824000000000003</c:v>
                </c:pt>
                <c:pt idx="79">
                  <c:v>7.276783</c:v>
                </c:pt>
                <c:pt idx="80">
                  <c:v>7.3673169999999999</c:v>
                </c:pt>
                <c:pt idx="81">
                  <c:v>7.460807</c:v>
                </c:pt>
                <c:pt idx="82">
                  <c:v>7.5536279999999998</c:v>
                </c:pt>
                <c:pt idx="83">
                  <c:v>7.6462820000000002</c:v>
                </c:pt>
                <c:pt idx="84">
                  <c:v>7.7406090000000001</c:v>
                </c:pt>
                <c:pt idx="85">
                  <c:v>7.831366</c:v>
                </c:pt>
                <c:pt idx="86">
                  <c:v>7.9220670000000002</c:v>
                </c:pt>
                <c:pt idx="87">
                  <c:v>8.0169519999999999</c:v>
                </c:pt>
                <c:pt idx="88">
                  <c:v>8.1104970000000005</c:v>
                </c:pt>
                <c:pt idx="89">
                  <c:v>8.2035979999999995</c:v>
                </c:pt>
                <c:pt idx="90">
                  <c:v>8.2945779999999996</c:v>
                </c:pt>
                <c:pt idx="91">
                  <c:v>8.3854469999999992</c:v>
                </c:pt>
                <c:pt idx="92">
                  <c:v>8.5908359999999995</c:v>
                </c:pt>
                <c:pt idx="93">
                  <c:v>8.5735989999999997</c:v>
                </c:pt>
                <c:pt idx="94">
                  <c:v>8.6644120000000004</c:v>
                </c:pt>
                <c:pt idx="95">
                  <c:v>8.758013</c:v>
                </c:pt>
                <c:pt idx="96">
                  <c:v>8.8512799999999991</c:v>
                </c:pt>
                <c:pt idx="97">
                  <c:v>8.9457749999999994</c:v>
                </c:pt>
                <c:pt idx="98">
                  <c:v>9.0379819999999995</c:v>
                </c:pt>
                <c:pt idx="99">
                  <c:v>9.131138</c:v>
                </c:pt>
              </c:numCache>
            </c:numRef>
          </c:xVal>
          <c:yVal>
            <c:numRef>
              <c:f>'Si-MOS'!$G$3:$G$102</c:f>
              <c:numCache>
                <c:formatCode>General</c:formatCode>
                <c:ptCount val="100"/>
                <c:pt idx="0" formatCode="0.00E+00">
                  <c:v>-9.8092399999999999E-4</c:v>
                </c:pt>
                <c:pt idx="1">
                  <c:v>0.32531549999999998</c:v>
                </c:pt>
                <c:pt idx="2">
                  <c:v>0.66245509999999996</c:v>
                </c:pt>
                <c:pt idx="3">
                  <c:v>0.99358919999999995</c:v>
                </c:pt>
                <c:pt idx="4">
                  <c:v>1.330395</c:v>
                </c:pt>
                <c:pt idx="5">
                  <c:v>1.6550229999999999</c:v>
                </c:pt>
                <c:pt idx="6">
                  <c:v>1.987158</c:v>
                </c:pt>
                <c:pt idx="7">
                  <c:v>2.3141219999999998</c:v>
                </c:pt>
                <c:pt idx="8">
                  <c:v>2.6465909999999999</c:v>
                </c:pt>
                <c:pt idx="9">
                  <c:v>2.9672149999999999</c:v>
                </c:pt>
                <c:pt idx="10">
                  <c:v>3.2993510000000001</c:v>
                </c:pt>
                <c:pt idx="11">
                  <c:v>3.624479</c:v>
                </c:pt>
                <c:pt idx="12">
                  <c:v>3.9399320000000002</c:v>
                </c:pt>
                <c:pt idx="13">
                  <c:v>4.2653949999999998</c:v>
                </c:pt>
                <c:pt idx="14">
                  <c:v>4.5823489999999998</c:v>
                </c:pt>
                <c:pt idx="15">
                  <c:v>4.8978020000000004</c:v>
                </c:pt>
                <c:pt idx="16">
                  <c:v>5.2209289999999999</c:v>
                </c:pt>
                <c:pt idx="17">
                  <c:v>5.5332129999999999</c:v>
                </c:pt>
                <c:pt idx="18">
                  <c:v>5.8444960000000004</c:v>
                </c:pt>
                <c:pt idx="19">
                  <c:v>6.1572800000000001</c:v>
                </c:pt>
                <c:pt idx="20">
                  <c:v>6.4705640000000004</c:v>
                </c:pt>
                <c:pt idx="21">
                  <c:v>6.7766760000000001</c:v>
                </c:pt>
                <c:pt idx="22">
                  <c:v>7.0824540000000002</c:v>
                </c:pt>
                <c:pt idx="23">
                  <c:v>7.4853199999999998</c:v>
                </c:pt>
                <c:pt idx="24">
                  <c:v>7.6905060000000001</c:v>
                </c:pt>
                <c:pt idx="25">
                  <c:v>7.9932809999999996</c:v>
                </c:pt>
                <c:pt idx="26">
                  <c:v>8.2968899999999994</c:v>
                </c:pt>
                <c:pt idx="27">
                  <c:v>8.5906570000000002</c:v>
                </c:pt>
                <c:pt idx="28">
                  <c:v>8.8850909999999992</c:v>
                </c:pt>
                <c:pt idx="29">
                  <c:v>9.1785239999999995</c:v>
                </c:pt>
                <c:pt idx="30">
                  <c:v>9.4657850000000003</c:v>
                </c:pt>
                <c:pt idx="31">
                  <c:v>9.7570499999999996</c:v>
                </c:pt>
                <c:pt idx="32">
                  <c:v>10.05315</c:v>
                </c:pt>
                <c:pt idx="33">
                  <c:v>10.339410000000001</c:v>
                </c:pt>
                <c:pt idx="34">
                  <c:v>10.623670000000001</c:v>
                </c:pt>
                <c:pt idx="35">
                  <c:v>10.90376</c:v>
                </c:pt>
                <c:pt idx="36">
                  <c:v>11.18418</c:v>
                </c:pt>
                <c:pt idx="37">
                  <c:v>11.461600000000001</c:v>
                </c:pt>
                <c:pt idx="38">
                  <c:v>11.736520000000001</c:v>
                </c:pt>
                <c:pt idx="39">
                  <c:v>12.0131</c:v>
                </c:pt>
                <c:pt idx="40">
                  <c:v>12.287520000000001</c:v>
                </c:pt>
                <c:pt idx="41">
                  <c:v>12.559430000000001</c:v>
                </c:pt>
                <c:pt idx="42">
                  <c:v>12.82751</c:v>
                </c:pt>
                <c:pt idx="43">
                  <c:v>13.09825</c:v>
                </c:pt>
                <c:pt idx="44">
                  <c:v>13.36633</c:v>
                </c:pt>
                <c:pt idx="45">
                  <c:v>13.63007</c:v>
                </c:pt>
                <c:pt idx="46">
                  <c:v>14.05646</c:v>
                </c:pt>
                <c:pt idx="47">
                  <c:v>14.150539999999999</c:v>
                </c:pt>
                <c:pt idx="48">
                  <c:v>14.41245</c:v>
                </c:pt>
                <c:pt idx="49">
                  <c:v>14.66818</c:v>
                </c:pt>
                <c:pt idx="50">
                  <c:v>14.91924</c:v>
                </c:pt>
                <c:pt idx="51">
                  <c:v>15.17597</c:v>
                </c:pt>
                <c:pt idx="52">
                  <c:v>15.423030000000001</c:v>
                </c:pt>
                <c:pt idx="53">
                  <c:v>15.67676</c:v>
                </c:pt>
                <c:pt idx="54">
                  <c:v>15.923819999999999</c:v>
                </c:pt>
                <c:pt idx="55">
                  <c:v>16.17455</c:v>
                </c:pt>
                <c:pt idx="56">
                  <c:v>16.426439999999999</c:v>
                </c:pt>
                <c:pt idx="57">
                  <c:v>16.66649</c:v>
                </c:pt>
                <c:pt idx="58">
                  <c:v>16.912220000000001</c:v>
                </c:pt>
                <c:pt idx="59">
                  <c:v>17.153099999999998</c:v>
                </c:pt>
                <c:pt idx="60">
                  <c:v>17.40033</c:v>
                </c:pt>
                <c:pt idx="61">
                  <c:v>17.636369999999999</c:v>
                </c:pt>
                <c:pt idx="62">
                  <c:v>17.874089999999999</c:v>
                </c:pt>
                <c:pt idx="63">
                  <c:v>18.115310000000001</c:v>
                </c:pt>
                <c:pt idx="64">
                  <c:v>18.350020000000001</c:v>
                </c:pt>
                <c:pt idx="65">
                  <c:v>18.580559999999998</c:v>
                </c:pt>
                <c:pt idx="66">
                  <c:v>18.808109999999999</c:v>
                </c:pt>
                <c:pt idx="67">
                  <c:v>19.04515</c:v>
                </c:pt>
                <c:pt idx="68">
                  <c:v>19.27486</c:v>
                </c:pt>
                <c:pt idx="69">
                  <c:v>19.726939999999999</c:v>
                </c:pt>
                <c:pt idx="70">
                  <c:v>19.718769999999999</c:v>
                </c:pt>
                <c:pt idx="71">
                  <c:v>19.949639999999999</c:v>
                </c:pt>
                <c:pt idx="72">
                  <c:v>20.173010000000001</c:v>
                </c:pt>
                <c:pt idx="73">
                  <c:v>20.400549999999999</c:v>
                </c:pt>
                <c:pt idx="74">
                  <c:v>20.613409999999998</c:v>
                </c:pt>
                <c:pt idx="75">
                  <c:v>20.83128</c:v>
                </c:pt>
                <c:pt idx="76">
                  <c:v>21.047809999999998</c:v>
                </c:pt>
                <c:pt idx="77">
                  <c:v>21.269010000000002</c:v>
                </c:pt>
                <c:pt idx="78">
                  <c:v>21.479869999999998</c:v>
                </c:pt>
                <c:pt idx="79">
                  <c:v>21.692060000000001</c:v>
                </c:pt>
                <c:pt idx="80">
                  <c:v>21.90709</c:v>
                </c:pt>
                <c:pt idx="81">
                  <c:v>22.12228</c:v>
                </c:pt>
                <c:pt idx="82">
                  <c:v>22.32347</c:v>
                </c:pt>
                <c:pt idx="83">
                  <c:v>22.528649999999999</c:v>
                </c:pt>
                <c:pt idx="84">
                  <c:v>22.734839999999998</c:v>
                </c:pt>
                <c:pt idx="85">
                  <c:v>22.94219</c:v>
                </c:pt>
                <c:pt idx="86">
                  <c:v>23.145879999999998</c:v>
                </c:pt>
                <c:pt idx="87">
                  <c:v>23.34423</c:v>
                </c:pt>
                <c:pt idx="88">
                  <c:v>23.54241</c:v>
                </c:pt>
                <c:pt idx="89">
                  <c:v>23.74025</c:v>
                </c:pt>
                <c:pt idx="90">
                  <c:v>23.938929999999999</c:v>
                </c:pt>
                <c:pt idx="91">
                  <c:v>24.138950000000001</c:v>
                </c:pt>
                <c:pt idx="92">
                  <c:v>24.608709999999999</c:v>
                </c:pt>
                <c:pt idx="93">
                  <c:v>24.521460000000001</c:v>
                </c:pt>
                <c:pt idx="94">
                  <c:v>24.72081</c:v>
                </c:pt>
                <c:pt idx="95">
                  <c:v>24.911149999999999</c:v>
                </c:pt>
                <c:pt idx="96">
                  <c:v>25.095320000000001</c:v>
                </c:pt>
                <c:pt idx="97">
                  <c:v>25.285489999999999</c:v>
                </c:pt>
                <c:pt idx="98">
                  <c:v>25.474989999999998</c:v>
                </c:pt>
                <c:pt idx="99">
                  <c:v>25.661660000000001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1FA-4656-9111-75324B229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2271887"/>
        <c:axId val="1402272367"/>
      </c:scatterChart>
      <c:valAx>
        <c:axId val="140227188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Vds</a:t>
                </a:r>
                <a:r>
                  <a:rPr lang="en-US" altLang="ja-JP" baseline="0"/>
                  <a:t> (V)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02272367"/>
        <c:crosses val="autoZero"/>
        <c:crossBetween val="midCat"/>
      </c:valAx>
      <c:valAx>
        <c:axId val="140227236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Id( </a:t>
                </a:r>
                <a:r>
                  <a:rPr lang="en-US" altLang="ja-JP" baseline="0"/>
                  <a:t>A)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022718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3200418442270306"/>
          <c:y val="0.36841464874451485"/>
          <c:w val="0.29109058985481578"/>
          <c:h val="0.113145658960393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568276669520594"/>
          <c:y val="5.0685487660061104E-2"/>
          <c:w val="0.81733909381019143"/>
          <c:h val="0.7861841592068538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'Si-IGBT'!$I$3:$I$102</c:f>
              <c:numCache>
                <c:formatCode>General</c:formatCode>
                <c:ptCount val="100"/>
                <c:pt idx="0">
                  <c:v>4.0769580000000003E-3</c:v>
                </c:pt>
                <c:pt idx="1">
                  <c:v>4.5018200000000001E-2</c:v>
                </c:pt>
                <c:pt idx="2">
                  <c:v>8.8980199999999995E-2</c:v>
                </c:pt>
                <c:pt idx="3">
                  <c:v>0.13650180000000001</c:v>
                </c:pt>
                <c:pt idx="4">
                  <c:v>0.18353939999999999</c:v>
                </c:pt>
                <c:pt idx="5">
                  <c:v>0.2303576</c:v>
                </c:pt>
                <c:pt idx="6">
                  <c:v>0.27663949999999998</c:v>
                </c:pt>
                <c:pt idx="7">
                  <c:v>0.3230286</c:v>
                </c:pt>
                <c:pt idx="8">
                  <c:v>0.36931039999999998</c:v>
                </c:pt>
                <c:pt idx="9">
                  <c:v>0.42281869999999999</c:v>
                </c:pt>
                <c:pt idx="10">
                  <c:v>0.4635978</c:v>
                </c:pt>
                <c:pt idx="11">
                  <c:v>0.5097699</c:v>
                </c:pt>
                <c:pt idx="12">
                  <c:v>0.55588959999999998</c:v>
                </c:pt>
                <c:pt idx="13">
                  <c:v>0.60276510000000005</c:v>
                </c:pt>
                <c:pt idx="14">
                  <c:v>0.64936879999999997</c:v>
                </c:pt>
                <c:pt idx="15">
                  <c:v>0.69651370000000001</c:v>
                </c:pt>
                <c:pt idx="16">
                  <c:v>0.74252370000000001</c:v>
                </c:pt>
                <c:pt idx="17">
                  <c:v>0.78875059999999997</c:v>
                </c:pt>
                <c:pt idx="18">
                  <c:v>0.84625240000000002</c:v>
                </c:pt>
                <c:pt idx="19">
                  <c:v>0.88228459999999997</c:v>
                </c:pt>
                <c:pt idx="20">
                  <c:v>0.92808009999999996</c:v>
                </c:pt>
                <c:pt idx="21">
                  <c:v>0.97538709999999995</c:v>
                </c:pt>
                <c:pt idx="22">
                  <c:v>1.0203720000000001</c:v>
                </c:pt>
                <c:pt idx="23">
                  <c:v>1.067841</c:v>
                </c:pt>
                <c:pt idx="24">
                  <c:v>1.1147689999999999</c:v>
                </c:pt>
                <c:pt idx="25">
                  <c:v>1.1609959999999999</c:v>
                </c:pt>
                <c:pt idx="26">
                  <c:v>1.2072229999999999</c:v>
                </c:pt>
                <c:pt idx="27">
                  <c:v>1.271412</c:v>
                </c:pt>
                <c:pt idx="28">
                  <c:v>1.299677</c:v>
                </c:pt>
                <c:pt idx="29">
                  <c:v>1.3459589999999999</c:v>
                </c:pt>
                <c:pt idx="30">
                  <c:v>1.3931560000000001</c:v>
                </c:pt>
                <c:pt idx="31">
                  <c:v>1.4396519999999999</c:v>
                </c:pt>
                <c:pt idx="32">
                  <c:v>1.486418</c:v>
                </c:pt>
                <c:pt idx="33">
                  <c:v>1.5314049999999999</c:v>
                </c:pt>
                <c:pt idx="34">
                  <c:v>1.5786579999999999</c:v>
                </c:pt>
                <c:pt idx="35">
                  <c:v>1.6256930000000001</c:v>
                </c:pt>
                <c:pt idx="36">
                  <c:v>1.6963029999999999</c:v>
                </c:pt>
                <c:pt idx="37">
                  <c:v>1.7183090000000001</c:v>
                </c:pt>
                <c:pt idx="38">
                  <c:v>1.764429</c:v>
                </c:pt>
                <c:pt idx="39">
                  <c:v>1.8115190000000001</c:v>
                </c:pt>
                <c:pt idx="40">
                  <c:v>1.857853</c:v>
                </c:pt>
                <c:pt idx="41">
                  <c:v>1.9044589999999999</c:v>
                </c:pt>
                <c:pt idx="42">
                  <c:v>1.9499299999999999</c:v>
                </c:pt>
                <c:pt idx="43">
                  <c:v>1.99702</c:v>
                </c:pt>
                <c:pt idx="44">
                  <c:v>2.044003</c:v>
                </c:pt>
                <c:pt idx="45">
                  <c:v>2.1202749999999999</c:v>
                </c:pt>
                <c:pt idx="46">
                  <c:v>2.1354320000000002</c:v>
                </c:pt>
                <c:pt idx="47">
                  <c:v>2.1825770000000002</c:v>
                </c:pt>
                <c:pt idx="48">
                  <c:v>2.2298809999999998</c:v>
                </c:pt>
                <c:pt idx="49">
                  <c:v>2.2760560000000001</c:v>
                </c:pt>
                <c:pt idx="50">
                  <c:v>2.321634</c:v>
                </c:pt>
                <c:pt idx="51">
                  <c:v>2.368455</c:v>
                </c:pt>
                <c:pt idx="52">
                  <c:v>2.4149509999999998</c:v>
                </c:pt>
                <c:pt idx="53">
                  <c:v>2.4617200000000001</c:v>
                </c:pt>
                <c:pt idx="54">
                  <c:v>2.5440309999999999</c:v>
                </c:pt>
                <c:pt idx="55">
                  <c:v>2.553525</c:v>
                </c:pt>
                <c:pt idx="56">
                  <c:v>2.6011009999999999</c:v>
                </c:pt>
                <c:pt idx="57">
                  <c:v>2.647221</c:v>
                </c:pt>
                <c:pt idx="58">
                  <c:v>2.6936100000000001</c:v>
                </c:pt>
                <c:pt idx="59">
                  <c:v>2.7399439999999999</c:v>
                </c:pt>
                <c:pt idx="60">
                  <c:v>2.7876829999999999</c:v>
                </c:pt>
                <c:pt idx="61">
                  <c:v>2.8338000000000001</c:v>
                </c:pt>
                <c:pt idx="62">
                  <c:v>2.8799199999999998</c:v>
                </c:pt>
                <c:pt idx="63">
                  <c:v>2.9677889999999998</c:v>
                </c:pt>
                <c:pt idx="64">
                  <c:v>2.9732370000000001</c:v>
                </c:pt>
                <c:pt idx="65">
                  <c:v>3.0181689999999999</c:v>
                </c:pt>
                <c:pt idx="66">
                  <c:v>3.064559</c:v>
                </c:pt>
                <c:pt idx="67">
                  <c:v>3.1116489999999999</c:v>
                </c:pt>
                <c:pt idx="68">
                  <c:v>3.1579299999999999</c:v>
                </c:pt>
                <c:pt idx="69">
                  <c:v>3.2052900000000002</c:v>
                </c:pt>
                <c:pt idx="70">
                  <c:v>3.2516790000000002</c:v>
                </c:pt>
                <c:pt idx="71">
                  <c:v>3.2974199999999998</c:v>
                </c:pt>
                <c:pt idx="72">
                  <c:v>3.391168</c:v>
                </c:pt>
                <c:pt idx="73">
                  <c:v>3.389983</c:v>
                </c:pt>
                <c:pt idx="74">
                  <c:v>3.43648</c:v>
                </c:pt>
                <c:pt idx="75">
                  <c:v>3.482599</c:v>
                </c:pt>
                <c:pt idx="76">
                  <c:v>3.530767</c:v>
                </c:pt>
                <c:pt idx="77">
                  <c:v>3.57775</c:v>
                </c:pt>
                <c:pt idx="78">
                  <c:v>3.6236000000000002</c:v>
                </c:pt>
                <c:pt idx="79">
                  <c:v>3.669448</c:v>
                </c:pt>
                <c:pt idx="80">
                  <c:v>3.7179419999999999</c:v>
                </c:pt>
                <c:pt idx="81">
                  <c:v>3.8150879999999998</c:v>
                </c:pt>
                <c:pt idx="82">
                  <c:v>3.8084009999999999</c:v>
                </c:pt>
                <c:pt idx="83">
                  <c:v>3.8546279999999999</c:v>
                </c:pt>
                <c:pt idx="84">
                  <c:v>3.9003679999999998</c:v>
                </c:pt>
                <c:pt idx="85">
                  <c:v>3.9480520000000001</c:v>
                </c:pt>
                <c:pt idx="86">
                  <c:v>3.9941170000000001</c:v>
                </c:pt>
                <c:pt idx="87">
                  <c:v>4.039428</c:v>
                </c:pt>
                <c:pt idx="88">
                  <c:v>4.0836569999999996</c:v>
                </c:pt>
                <c:pt idx="89">
                  <c:v>4.1297249999999996</c:v>
                </c:pt>
                <c:pt idx="90">
                  <c:v>4.235716</c:v>
                </c:pt>
                <c:pt idx="91">
                  <c:v>4.2276259999999999</c:v>
                </c:pt>
                <c:pt idx="92">
                  <c:v>4.2771980000000003</c:v>
                </c:pt>
                <c:pt idx="93">
                  <c:v>4.3248800000000003</c:v>
                </c:pt>
                <c:pt idx="94">
                  <c:v>4.3724559999999997</c:v>
                </c:pt>
                <c:pt idx="95">
                  <c:v>4.4185210000000001</c:v>
                </c:pt>
                <c:pt idx="96">
                  <c:v>4.4649650000000003</c:v>
                </c:pt>
                <c:pt idx="97">
                  <c:v>4.510059</c:v>
                </c:pt>
                <c:pt idx="98">
                  <c:v>4.5562860000000001</c:v>
                </c:pt>
                <c:pt idx="99">
                  <c:v>4.6679430000000002</c:v>
                </c:pt>
              </c:numCache>
            </c:numRef>
          </c:xVal>
          <c:yVal>
            <c:numRef>
              <c:f>'Si-IGBT'!$J$3:$J$102</c:f>
              <c:numCache>
                <c:formatCode>0.00E+00</c:formatCode>
                <c:ptCount val="100"/>
                <c:pt idx="0">
                  <c:v>1.661798E-4</c:v>
                </c:pt>
                <c:pt idx="1">
                  <c:v>-1.574642E-6</c:v>
                </c:pt>
                <c:pt idx="2">
                  <c:v>-1.1813179999999999E-5</c:v>
                </c:pt>
                <c:pt idx="3">
                  <c:v>-1.6538659999999999E-5</c:v>
                </c:pt>
                <c:pt idx="4">
                  <c:v>-1.2994550000000001E-5</c:v>
                </c:pt>
                <c:pt idx="5">
                  <c:v>-7.8752789999999999E-6</c:v>
                </c:pt>
                <c:pt idx="6">
                  <c:v>-1.0631809999999999E-5</c:v>
                </c:pt>
                <c:pt idx="7">
                  <c:v>-1.220697E-5</c:v>
                </c:pt>
                <c:pt idx="8">
                  <c:v>-1.6538659999999999E-5</c:v>
                </c:pt>
                <c:pt idx="9">
                  <c:v>-7.4814890000000002E-6</c:v>
                </c:pt>
                <c:pt idx="10">
                  <c:v>-1.141939E-5</c:v>
                </c:pt>
                <c:pt idx="11">
                  <c:v>-1.5751080000000001E-5</c:v>
                </c:pt>
                <c:pt idx="12">
                  <c:v>-7.8706220000000005E-7</c:v>
                </c:pt>
                <c:pt idx="13">
                  <c:v>-1.5357289999999999E-5</c:v>
                </c:pt>
                <c:pt idx="14">
                  <c:v>-1.929518E-5</c:v>
                </c:pt>
                <c:pt idx="15">
                  <c:v>-6.3001199999999997E-6</c:v>
                </c:pt>
                <c:pt idx="16">
                  <c:v>-1.378213E-5</c:v>
                </c:pt>
                <c:pt idx="17">
                  <c:v>-9.0566489999999997E-6</c:v>
                </c:pt>
                <c:pt idx="18">
                  <c:v>5.1750160000000002E-10</c:v>
                </c:pt>
                <c:pt idx="19">
                  <c:v>-1.1813179999999999E-5</c:v>
                </c:pt>
                <c:pt idx="20">
                  <c:v>-1.614487E-5</c:v>
                </c:pt>
                <c:pt idx="21">
                  <c:v>-7.8752789999999999E-6</c:v>
                </c:pt>
                <c:pt idx="22">
                  <c:v>-2.756011E-6</c:v>
                </c:pt>
                <c:pt idx="23">
                  <c:v>-1.1813179999999999E-5</c:v>
                </c:pt>
                <c:pt idx="24">
                  <c:v>-1.614487E-5</c:v>
                </c:pt>
                <c:pt idx="25">
                  <c:v>-1.49635E-5</c:v>
                </c:pt>
                <c:pt idx="26">
                  <c:v>-4.7249600000000002E-6</c:v>
                </c:pt>
                <c:pt idx="27">
                  <c:v>1.9694670000000001E-6</c:v>
                </c:pt>
                <c:pt idx="28">
                  <c:v>-9.4504380000000008E-6</c:v>
                </c:pt>
                <c:pt idx="29">
                  <c:v>-1.49635E-5</c:v>
                </c:pt>
                <c:pt idx="30">
                  <c:v>-8.2690690000000004E-6</c:v>
                </c:pt>
                <c:pt idx="31">
                  <c:v>-1.574642E-6</c:v>
                </c:pt>
                <c:pt idx="32">
                  <c:v>-1.10256E-5</c:v>
                </c:pt>
                <c:pt idx="33">
                  <c:v>-1.220697E-5</c:v>
                </c:pt>
                <c:pt idx="34">
                  <c:v>-1.4569709999999999E-5</c:v>
                </c:pt>
                <c:pt idx="35">
                  <c:v>-1.5751080000000001E-5</c:v>
                </c:pt>
                <c:pt idx="36">
                  <c:v>-1.693244E-5</c:v>
                </c:pt>
                <c:pt idx="37">
                  <c:v>-4.7249600000000002E-6</c:v>
                </c:pt>
                <c:pt idx="38">
                  <c:v>-2.362221E-6</c:v>
                </c:pt>
                <c:pt idx="39">
                  <c:v>-1.10256E-5</c:v>
                </c:pt>
                <c:pt idx="40">
                  <c:v>-1.732624E-5</c:v>
                </c:pt>
                <c:pt idx="41">
                  <c:v>-7.0876989999999997E-6</c:v>
                </c:pt>
                <c:pt idx="42">
                  <c:v>-2.756011E-6</c:v>
                </c:pt>
                <c:pt idx="43">
                  <c:v>-1.0238020000000001E-5</c:v>
                </c:pt>
                <c:pt idx="44">
                  <c:v>-1.732624E-5</c:v>
                </c:pt>
                <c:pt idx="45">
                  <c:v>-1.574642E-6</c:v>
                </c:pt>
                <c:pt idx="46">
                  <c:v>-1.49635E-5</c:v>
                </c:pt>
                <c:pt idx="47">
                  <c:v>-1.732624E-5</c:v>
                </c:pt>
                <c:pt idx="48">
                  <c:v>-7.4814890000000002E-6</c:v>
                </c:pt>
                <c:pt idx="49">
                  <c:v>-1.2994550000000001E-5</c:v>
                </c:pt>
                <c:pt idx="50">
                  <c:v>-1.4175920000000001E-5</c:v>
                </c:pt>
                <c:pt idx="51">
                  <c:v>-1.5357289999999999E-5</c:v>
                </c:pt>
                <c:pt idx="52">
                  <c:v>3.9430729999999999E-7</c:v>
                </c:pt>
                <c:pt idx="53">
                  <c:v>-1.4569709999999999E-5</c:v>
                </c:pt>
                <c:pt idx="54">
                  <c:v>-1.614487E-5</c:v>
                </c:pt>
                <c:pt idx="55">
                  <c:v>-1.0238020000000001E-5</c:v>
                </c:pt>
                <c:pt idx="56">
                  <c:v>-1.574642E-6</c:v>
                </c:pt>
                <c:pt idx="57">
                  <c:v>-1.693244E-5</c:v>
                </c:pt>
                <c:pt idx="58">
                  <c:v>-9.8442290000000007E-6</c:v>
                </c:pt>
                <c:pt idx="59">
                  <c:v>-1.1808519999999999E-6</c:v>
                </c:pt>
                <c:pt idx="60">
                  <c:v>-1.378213E-5</c:v>
                </c:pt>
                <c:pt idx="61">
                  <c:v>-1.5357289999999999E-5</c:v>
                </c:pt>
                <c:pt idx="62">
                  <c:v>-1.614487E-5</c:v>
                </c:pt>
                <c:pt idx="63">
                  <c:v>-6.6939100000000003E-6</c:v>
                </c:pt>
                <c:pt idx="64">
                  <c:v>-1.338834E-5</c:v>
                </c:pt>
                <c:pt idx="65">
                  <c:v>-1.5357289999999999E-5</c:v>
                </c:pt>
                <c:pt idx="66">
                  <c:v>-1.732624E-5</c:v>
                </c:pt>
                <c:pt idx="67">
                  <c:v>5.1750160000000002E-10</c:v>
                </c:pt>
                <c:pt idx="68">
                  <c:v>-1.378213E-5</c:v>
                </c:pt>
                <c:pt idx="69">
                  <c:v>-1.10256E-5</c:v>
                </c:pt>
                <c:pt idx="70">
                  <c:v>-1.2994550000000001E-5</c:v>
                </c:pt>
                <c:pt idx="71">
                  <c:v>-1.4569709999999999E-5</c:v>
                </c:pt>
                <c:pt idx="72">
                  <c:v>-1.9684320000000001E-6</c:v>
                </c:pt>
                <c:pt idx="73">
                  <c:v>-9.4504380000000008E-6</c:v>
                </c:pt>
                <c:pt idx="74">
                  <c:v>-1.0631809999999999E-5</c:v>
                </c:pt>
                <c:pt idx="75">
                  <c:v>1.299558E-5</c:v>
                </c:pt>
                <c:pt idx="76">
                  <c:v>6.6949449999999998E-6</c:v>
                </c:pt>
                <c:pt idx="77">
                  <c:v>2.7172020000000001E-5</c:v>
                </c:pt>
                <c:pt idx="78">
                  <c:v>5.6312459999999997E-5</c:v>
                </c:pt>
                <c:pt idx="79">
                  <c:v>9.8841769999999997E-5</c:v>
                </c:pt>
                <c:pt idx="80">
                  <c:v>1.819314E-4</c:v>
                </c:pt>
                <c:pt idx="81">
                  <c:v>2.6817140000000002E-4</c:v>
                </c:pt>
                <c:pt idx="82">
                  <c:v>4.3907620000000001E-4</c:v>
                </c:pt>
                <c:pt idx="83">
                  <c:v>6.8165070000000003E-4</c:v>
                </c:pt>
                <c:pt idx="84" formatCode="General">
                  <c:v>1.0482689999999999E-3</c:v>
                </c:pt>
                <c:pt idx="85" formatCode="General">
                  <c:v>1.5688589999999999E-3</c:v>
                </c:pt>
                <c:pt idx="86" formatCode="General">
                  <c:v>2.252085E-3</c:v>
                </c:pt>
                <c:pt idx="87" formatCode="General">
                  <c:v>3.1700090000000001E-3</c:v>
                </c:pt>
                <c:pt idx="88" formatCode="General">
                  <c:v>4.3407460000000004E-3</c:v>
                </c:pt>
                <c:pt idx="89" formatCode="General">
                  <c:v>5.8351779999999999E-3</c:v>
                </c:pt>
                <c:pt idx="90" formatCode="General">
                  <c:v>7.4516859999999999E-3</c:v>
                </c:pt>
                <c:pt idx="91" formatCode="General">
                  <c:v>7.5123289999999999E-3</c:v>
                </c:pt>
                <c:pt idx="92" formatCode="General">
                  <c:v>7.5292620000000001E-3</c:v>
                </c:pt>
                <c:pt idx="93" formatCode="General">
                  <c:v>7.5458010000000004E-3</c:v>
                </c:pt>
                <c:pt idx="94" formatCode="General">
                  <c:v>7.5769110000000004E-3</c:v>
                </c:pt>
                <c:pt idx="95" formatCode="General">
                  <c:v>7.5895119999999996E-3</c:v>
                </c:pt>
                <c:pt idx="96" formatCode="General">
                  <c:v>7.6017189999999998E-3</c:v>
                </c:pt>
                <c:pt idx="97" formatCode="General">
                  <c:v>7.9049370000000008E-3</c:v>
                </c:pt>
                <c:pt idx="98" formatCode="General">
                  <c:v>8.3050280000000008E-3</c:v>
                </c:pt>
                <c:pt idx="99" formatCode="General">
                  <c:v>8.8575159999999993E-3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43-463F-ADBE-98948A703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2289647"/>
        <c:axId val="1402285807"/>
      </c:scatterChart>
      <c:valAx>
        <c:axId val="1402289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Vge</a:t>
                </a:r>
                <a:r>
                  <a:rPr lang="en-US" altLang="ja-JP" baseline="0"/>
                  <a:t> (V)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02285807"/>
        <c:crossesAt val="-1.0000000000000002E-3"/>
        <c:crossBetween val="midCat"/>
      </c:valAx>
      <c:valAx>
        <c:axId val="1402285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Ic</a:t>
                </a:r>
                <a:r>
                  <a:rPr lang="en-US" altLang="ja-JP" baseline="0"/>
                  <a:t> (A)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02289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961794561942728"/>
          <c:y val="5.1020408163265307E-2"/>
          <c:w val="0.77483588245664503"/>
          <c:h val="0.78477130293778208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'Si-IGBT'!$L$3:$L$144</c:f>
              <c:numCache>
                <c:formatCode>General</c:formatCode>
                <c:ptCount val="142"/>
                <c:pt idx="0">
                  <c:v>9.1754870000000002E-2</c:v>
                </c:pt>
                <c:pt idx="1">
                  <c:v>9.8975310000000007</c:v>
                </c:pt>
                <c:pt idx="2">
                  <c:v>19.893519999999999</c:v>
                </c:pt>
                <c:pt idx="3">
                  <c:v>29.945620000000002</c:v>
                </c:pt>
                <c:pt idx="4">
                  <c:v>40.002850000000002</c:v>
                </c:pt>
                <c:pt idx="5">
                  <c:v>49.994900000000001</c:v>
                </c:pt>
                <c:pt idx="6">
                  <c:v>60.048520000000003</c:v>
                </c:pt>
                <c:pt idx="7">
                  <c:v>70.09393</c:v>
                </c:pt>
                <c:pt idx="8">
                  <c:v>80.10087</c:v>
                </c:pt>
                <c:pt idx="9">
                  <c:v>90.161069999999995</c:v>
                </c:pt>
                <c:pt idx="10">
                  <c:v>100.2084</c:v>
                </c:pt>
                <c:pt idx="11">
                  <c:v>110.2051</c:v>
                </c:pt>
                <c:pt idx="12">
                  <c:v>120.2589</c:v>
                </c:pt>
                <c:pt idx="13">
                  <c:v>130.30260000000001</c:v>
                </c:pt>
                <c:pt idx="14">
                  <c:v>140.31909999999999</c:v>
                </c:pt>
                <c:pt idx="15">
                  <c:v>150.35910000000001</c:v>
                </c:pt>
                <c:pt idx="16">
                  <c:v>160.40649999999999</c:v>
                </c:pt>
                <c:pt idx="17">
                  <c:v>170.41489999999999</c:v>
                </c:pt>
                <c:pt idx="18">
                  <c:v>180.45509999999999</c:v>
                </c:pt>
                <c:pt idx="19">
                  <c:v>190.51830000000001</c:v>
                </c:pt>
                <c:pt idx="20">
                  <c:v>200.5138</c:v>
                </c:pt>
                <c:pt idx="21">
                  <c:v>210.5684</c:v>
                </c:pt>
                <c:pt idx="22">
                  <c:v>220.61619999999999</c:v>
                </c:pt>
                <c:pt idx="23">
                  <c:v>230.61709999999999</c:v>
                </c:pt>
                <c:pt idx="24">
                  <c:v>240.672</c:v>
                </c:pt>
                <c:pt idx="25">
                  <c:v>250.72829999999999</c:v>
                </c:pt>
                <c:pt idx="26">
                  <c:v>260.72329999999999</c:v>
                </c:pt>
                <c:pt idx="27">
                  <c:v>270.76560000000001</c:v>
                </c:pt>
                <c:pt idx="28">
                  <c:v>280.81819999999999</c:v>
                </c:pt>
                <c:pt idx="29">
                  <c:v>290.82749999999999</c:v>
                </c:pt>
                <c:pt idx="30">
                  <c:v>300.88260000000002</c:v>
                </c:pt>
                <c:pt idx="31">
                  <c:v>310.9255</c:v>
                </c:pt>
                <c:pt idx="32">
                  <c:v>320.92930000000001</c:v>
                </c:pt>
                <c:pt idx="33">
                  <c:v>330.97160000000002</c:v>
                </c:pt>
                <c:pt idx="34">
                  <c:v>341.02820000000003</c:v>
                </c:pt>
                <c:pt idx="35">
                  <c:v>351.03730000000002</c:v>
                </c:pt>
                <c:pt idx="36">
                  <c:v>361.08420000000001</c:v>
                </c:pt>
                <c:pt idx="37">
                  <c:v>371.13240000000002</c:v>
                </c:pt>
                <c:pt idx="38">
                  <c:v>381.12849999999997</c:v>
                </c:pt>
                <c:pt idx="39">
                  <c:v>391.18509999999998</c:v>
                </c:pt>
                <c:pt idx="40">
                  <c:v>401.23809999999997</c:v>
                </c:pt>
                <c:pt idx="41">
                  <c:v>411.24040000000002</c:v>
                </c:pt>
                <c:pt idx="42">
                  <c:v>421.28469999999999</c:v>
                </c:pt>
                <c:pt idx="43">
                  <c:v>431.34309999999999</c:v>
                </c:pt>
                <c:pt idx="44">
                  <c:v>441.339</c:v>
                </c:pt>
                <c:pt idx="45">
                  <c:v>451.39940000000001</c:v>
                </c:pt>
                <c:pt idx="46">
                  <c:v>461.44240000000002</c:v>
                </c:pt>
                <c:pt idx="47">
                  <c:v>471.45119999999997</c:v>
                </c:pt>
                <c:pt idx="48">
                  <c:v>481.49520000000001</c:v>
                </c:pt>
                <c:pt idx="49">
                  <c:v>491.53910000000002</c:v>
                </c:pt>
                <c:pt idx="50">
                  <c:v>501.55419999999998</c:v>
                </c:pt>
                <c:pt idx="51">
                  <c:v>511.59890000000001</c:v>
                </c:pt>
                <c:pt idx="52">
                  <c:v>521.60350000000005</c:v>
                </c:pt>
                <c:pt idx="53">
                  <c:v>531.65139999999997</c:v>
                </c:pt>
                <c:pt idx="54">
                  <c:v>541.7002</c:v>
                </c:pt>
                <c:pt idx="55">
                  <c:v>551.7079</c:v>
                </c:pt>
                <c:pt idx="56">
                  <c:v>561.76220000000001</c:v>
                </c:pt>
                <c:pt idx="57">
                  <c:v>571.8066</c:v>
                </c:pt>
                <c:pt idx="58">
                  <c:v>581.80970000000002</c:v>
                </c:pt>
                <c:pt idx="59">
                  <c:v>591.8519</c:v>
                </c:pt>
                <c:pt idx="60">
                  <c:v>601.90809999999999</c:v>
                </c:pt>
                <c:pt idx="61">
                  <c:v>611.91279999999995</c:v>
                </c:pt>
                <c:pt idx="62">
                  <c:v>621.95770000000005</c:v>
                </c:pt>
                <c:pt idx="63">
                  <c:v>632.01279999999997</c:v>
                </c:pt>
                <c:pt idx="64">
                  <c:v>642.0068</c:v>
                </c:pt>
                <c:pt idx="65">
                  <c:v>652.06370000000004</c:v>
                </c:pt>
                <c:pt idx="66">
                  <c:v>662.11149999999998</c:v>
                </c:pt>
                <c:pt idx="67">
                  <c:v>672.11540000000002</c:v>
                </c:pt>
                <c:pt idx="68">
                  <c:v>682.16219999999998</c:v>
                </c:pt>
                <c:pt idx="69">
                  <c:v>692.21979999999996</c:v>
                </c:pt>
                <c:pt idx="70">
                  <c:v>702.21529999999996</c:v>
                </c:pt>
                <c:pt idx="71">
                  <c:v>712.2758</c:v>
                </c:pt>
                <c:pt idx="72">
                  <c:v>722.3193</c:v>
                </c:pt>
                <c:pt idx="73">
                  <c:v>732.31489999999997</c:v>
                </c:pt>
                <c:pt idx="74">
                  <c:v>742.37049999999999</c:v>
                </c:pt>
                <c:pt idx="75">
                  <c:v>752.41610000000003</c:v>
                </c:pt>
                <c:pt idx="76">
                  <c:v>762.42679999999996</c:v>
                </c:pt>
                <c:pt idx="77">
                  <c:v>772.47270000000003</c:v>
                </c:pt>
                <c:pt idx="78">
                  <c:v>782.5299</c:v>
                </c:pt>
                <c:pt idx="79">
                  <c:v>792.52620000000002</c:v>
                </c:pt>
                <c:pt idx="80">
                  <c:v>802.57780000000002</c:v>
                </c:pt>
                <c:pt idx="81">
                  <c:v>812.63430000000005</c:v>
                </c:pt>
                <c:pt idx="82">
                  <c:v>822.64009999999996</c:v>
                </c:pt>
                <c:pt idx="83">
                  <c:v>832.68269999999995</c:v>
                </c:pt>
                <c:pt idx="84">
                  <c:v>842.73180000000002</c:v>
                </c:pt>
                <c:pt idx="85">
                  <c:v>852.73199999999997</c:v>
                </c:pt>
                <c:pt idx="86">
                  <c:v>862.78380000000004</c:v>
                </c:pt>
                <c:pt idx="87">
                  <c:v>872.84079999999994</c:v>
                </c:pt>
                <c:pt idx="88">
                  <c:v>882.83749999999998</c:v>
                </c:pt>
                <c:pt idx="89">
                  <c:v>892.88750000000005</c:v>
                </c:pt>
                <c:pt idx="90">
                  <c:v>902.93399999999997</c:v>
                </c:pt>
                <c:pt idx="91">
                  <c:v>912.94259999999997</c:v>
                </c:pt>
                <c:pt idx="92">
                  <c:v>922.99789999999996</c:v>
                </c:pt>
                <c:pt idx="93">
                  <c:v>933.04819999999995</c:v>
                </c:pt>
                <c:pt idx="94">
                  <c:v>943.04459999999995</c:v>
                </c:pt>
                <c:pt idx="95">
                  <c:v>953.08929999999998</c:v>
                </c:pt>
                <c:pt idx="96">
                  <c:v>963.14700000000005</c:v>
                </c:pt>
                <c:pt idx="97">
                  <c:v>973.15049999999997</c:v>
                </c:pt>
                <c:pt idx="98">
                  <c:v>983.20249999999999</c:v>
                </c:pt>
                <c:pt idx="99">
                  <c:v>993.20060000000001</c:v>
                </c:pt>
                <c:pt idx="100">
                  <c:v>1003.254</c:v>
                </c:pt>
                <c:pt idx="101">
                  <c:v>1013.299</c:v>
                </c:pt>
                <c:pt idx="102">
                  <c:v>1023.308</c:v>
                </c:pt>
                <c:pt idx="103">
                  <c:v>1033.3510000000001</c:v>
                </c:pt>
                <c:pt idx="104">
                  <c:v>1043.4069999999999</c:v>
                </c:pt>
                <c:pt idx="105">
                  <c:v>1053.403</c:v>
                </c:pt>
                <c:pt idx="106">
                  <c:v>1063.4490000000001</c:v>
                </c:pt>
                <c:pt idx="107">
                  <c:v>1073.5119999999999</c:v>
                </c:pt>
                <c:pt idx="108">
                  <c:v>1083.509</c:v>
                </c:pt>
                <c:pt idx="109">
                  <c:v>1093.5650000000001</c:v>
                </c:pt>
                <c:pt idx="110">
                  <c:v>1103.6089999999999</c:v>
                </c:pt>
                <c:pt idx="111">
                  <c:v>1113.6120000000001</c:v>
                </c:pt>
                <c:pt idx="112">
                  <c:v>1123.6659999999999</c:v>
                </c:pt>
                <c:pt idx="113">
                  <c:v>1133.722</c:v>
                </c:pt>
                <c:pt idx="114">
                  <c:v>1143.7149999999999</c:v>
                </c:pt>
                <c:pt idx="115">
                  <c:v>1153.768</c:v>
                </c:pt>
                <c:pt idx="116">
                  <c:v>1163.8130000000001</c:v>
                </c:pt>
                <c:pt idx="117">
                  <c:v>1173.82</c:v>
                </c:pt>
                <c:pt idx="118">
                  <c:v>1183.874</c:v>
                </c:pt>
                <c:pt idx="119">
                  <c:v>1193.92</c:v>
                </c:pt>
                <c:pt idx="120">
                  <c:v>1203.921</c:v>
                </c:pt>
                <c:pt idx="121">
                  <c:v>1213.9670000000001</c:v>
                </c:pt>
                <c:pt idx="122">
                  <c:v>1224.02</c:v>
                </c:pt>
                <c:pt idx="123">
                  <c:v>1234.0260000000001</c:v>
                </c:pt>
                <c:pt idx="124">
                  <c:v>1244.077</c:v>
                </c:pt>
                <c:pt idx="125">
                  <c:v>1254.1220000000001</c:v>
                </c:pt>
                <c:pt idx="126">
                  <c:v>1264.1300000000001</c:v>
                </c:pt>
                <c:pt idx="127">
                  <c:v>1265.625</c:v>
                </c:pt>
                <c:pt idx="128">
                  <c:v>1264.204</c:v>
                </c:pt>
                <c:pt idx="129">
                  <c:v>1263.953</c:v>
                </c:pt>
                <c:pt idx="130">
                  <c:v>1263.636</c:v>
                </c:pt>
                <c:pt idx="131">
                  <c:v>1264.0409999999999</c:v>
                </c:pt>
                <c:pt idx="132">
                  <c:v>1263.598</c:v>
                </c:pt>
                <c:pt idx="133">
                  <c:v>1263.6300000000001</c:v>
                </c:pt>
                <c:pt idx="134">
                  <c:v>1263.3710000000001</c:v>
                </c:pt>
                <c:pt idx="135">
                  <c:v>1263.2729999999999</c:v>
                </c:pt>
                <c:pt idx="136">
                  <c:v>1263.3150000000001</c:v>
                </c:pt>
                <c:pt idx="137">
                  <c:v>1263.1030000000001</c:v>
                </c:pt>
                <c:pt idx="138">
                  <c:v>1263.0060000000001</c:v>
                </c:pt>
                <c:pt idx="139">
                  <c:v>1262.7470000000001</c:v>
                </c:pt>
                <c:pt idx="140">
                  <c:v>1263.1300000000001</c:v>
                </c:pt>
                <c:pt idx="141">
                  <c:v>1263.4570000000001</c:v>
                </c:pt>
              </c:numCache>
            </c:numRef>
          </c:xVal>
          <c:yVal>
            <c:numRef>
              <c:f>'Si-IGBT'!$M$3:$M$144</c:f>
              <c:numCache>
                <c:formatCode>0.00E+00</c:formatCode>
                <c:ptCount val="142"/>
                <c:pt idx="0">
                  <c:v>-8.1688370000000002E-8</c:v>
                </c:pt>
                <c:pt idx="1">
                  <c:v>8.7590940000000001E-8</c:v>
                </c:pt>
                <c:pt idx="2">
                  <c:v>-8.0541770000000007E-9</c:v>
                </c:pt>
                <c:pt idx="3">
                  <c:v>-4.3059959999999997E-8</c:v>
                </c:pt>
                <c:pt idx="4">
                  <c:v>-4.9855740000000003E-8</c:v>
                </c:pt>
                <c:pt idx="5">
                  <c:v>-5.3029599999999997E-8</c:v>
                </c:pt>
                <c:pt idx="6">
                  <c:v>-5.4093770000000001E-8</c:v>
                </c:pt>
                <c:pt idx="7">
                  <c:v>-5.6371480000000003E-8</c:v>
                </c:pt>
                <c:pt idx="8">
                  <c:v>-5.7211620000000001E-8</c:v>
                </c:pt>
                <c:pt idx="9">
                  <c:v>-5.821979E-8</c:v>
                </c:pt>
                <c:pt idx="10">
                  <c:v>-5.7678370000000001E-8</c:v>
                </c:pt>
                <c:pt idx="11">
                  <c:v>-5.795841E-8</c:v>
                </c:pt>
                <c:pt idx="12">
                  <c:v>-5.7995749999999998E-8</c:v>
                </c:pt>
                <c:pt idx="13">
                  <c:v>-5.730497E-8</c:v>
                </c:pt>
                <c:pt idx="14">
                  <c:v>-5.8499840000000003E-8</c:v>
                </c:pt>
                <c:pt idx="15">
                  <c:v>-5.8257129999999999E-8</c:v>
                </c:pt>
                <c:pt idx="16">
                  <c:v>-5.8294469999999997E-8</c:v>
                </c:pt>
                <c:pt idx="17">
                  <c:v>-5.8481170000000001E-8</c:v>
                </c:pt>
                <c:pt idx="18">
                  <c:v>-5.8294469999999997E-8</c:v>
                </c:pt>
                <c:pt idx="19">
                  <c:v>-5.8649189999999999E-8</c:v>
                </c:pt>
                <c:pt idx="20">
                  <c:v>-5.7995749999999998E-8</c:v>
                </c:pt>
                <c:pt idx="21">
                  <c:v>-5.8779880000000002E-8</c:v>
                </c:pt>
                <c:pt idx="22">
                  <c:v>-5.8350479999999997E-8</c:v>
                </c:pt>
                <c:pt idx="23">
                  <c:v>-5.762236E-8</c:v>
                </c:pt>
                <c:pt idx="24">
                  <c:v>-5.7715709999999999E-8</c:v>
                </c:pt>
                <c:pt idx="25">
                  <c:v>-5.7715709999999999E-8</c:v>
                </c:pt>
                <c:pt idx="26">
                  <c:v>-5.6875570000000001E-8</c:v>
                </c:pt>
                <c:pt idx="27">
                  <c:v>-5.6856899999999999E-8</c:v>
                </c:pt>
                <c:pt idx="28">
                  <c:v>-5.6464830000000002E-8</c:v>
                </c:pt>
                <c:pt idx="29">
                  <c:v>-5.6614190000000001E-8</c:v>
                </c:pt>
                <c:pt idx="30">
                  <c:v>-5.6894239999999997E-8</c:v>
                </c:pt>
                <c:pt idx="31">
                  <c:v>-5.596075E-8</c:v>
                </c:pt>
                <c:pt idx="32">
                  <c:v>-5.6203459999999998E-8</c:v>
                </c:pt>
                <c:pt idx="33">
                  <c:v>-5.5718040000000003E-8</c:v>
                </c:pt>
                <c:pt idx="34">
                  <c:v>-5.6147449999999998E-8</c:v>
                </c:pt>
                <c:pt idx="35">
                  <c:v>-5.596075E-8</c:v>
                </c:pt>
                <c:pt idx="36">
                  <c:v>-5.5064600000000002E-8</c:v>
                </c:pt>
                <c:pt idx="37">
                  <c:v>-5.4859239999999999E-8</c:v>
                </c:pt>
                <c:pt idx="38">
                  <c:v>-5.5419330000000001E-8</c:v>
                </c:pt>
                <c:pt idx="39">
                  <c:v>-5.510194E-8</c:v>
                </c:pt>
                <c:pt idx="40">
                  <c:v>-5.4859239999999999E-8</c:v>
                </c:pt>
                <c:pt idx="41">
                  <c:v>-5.4056439999999999E-8</c:v>
                </c:pt>
                <c:pt idx="42">
                  <c:v>-5.3533679999999999E-8</c:v>
                </c:pt>
                <c:pt idx="43">
                  <c:v>-5.344033E-8</c:v>
                </c:pt>
                <c:pt idx="44">
                  <c:v>-5.390708E-8</c:v>
                </c:pt>
                <c:pt idx="45">
                  <c:v>-5.3627029999999997E-8</c:v>
                </c:pt>
                <c:pt idx="46">
                  <c:v>-5.2077439999999998E-8</c:v>
                </c:pt>
                <c:pt idx="47">
                  <c:v>-5.224547E-8</c:v>
                </c:pt>
                <c:pt idx="48">
                  <c:v>-5.1255970000000003E-8</c:v>
                </c:pt>
                <c:pt idx="49">
                  <c:v>-5.0527849999999999E-8</c:v>
                </c:pt>
                <c:pt idx="50">
                  <c:v>-4.9930419999999999E-8</c:v>
                </c:pt>
                <c:pt idx="51">
                  <c:v>-4.9090280000000001E-8</c:v>
                </c:pt>
                <c:pt idx="52">
                  <c:v>-4.8772899999999997E-8</c:v>
                </c:pt>
                <c:pt idx="53">
                  <c:v>-4.8604870000000002E-8</c:v>
                </c:pt>
                <c:pt idx="54">
                  <c:v>-4.8194130000000003E-8</c:v>
                </c:pt>
                <c:pt idx="55">
                  <c:v>-4.8138129999999999E-8</c:v>
                </c:pt>
                <c:pt idx="56">
                  <c:v>-4.6961929999999998E-8</c:v>
                </c:pt>
                <c:pt idx="57">
                  <c:v>-4.6476519999999999E-8</c:v>
                </c:pt>
                <c:pt idx="58">
                  <c:v>-4.6028440000000002E-8</c:v>
                </c:pt>
                <c:pt idx="59">
                  <c:v>-4.5038950000000001E-8</c:v>
                </c:pt>
                <c:pt idx="60">
                  <c:v>-4.4460189999999997E-8</c:v>
                </c:pt>
                <c:pt idx="61">
                  <c:v>-4.4105459999999998E-8</c:v>
                </c:pt>
                <c:pt idx="62">
                  <c:v>-4.3844079999999998E-8</c:v>
                </c:pt>
                <c:pt idx="63">
                  <c:v>-4.2985269999999997E-8</c:v>
                </c:pt>
                <c:pt idx="64">
                  <c:v>-4.2107799999999998E-8</c:v>
                </c:pt>
                <c:pt idx="65">
                  <c:v>-4.2854589999999997E-8</c:v>
                </c:pt>
                <c:pt idx="66">
                  <c:v>-4.1099629999999999E-8</c:v>
                </c:pt>
                <c:pt idx="67">
                  <c:v>-4.1921100000000001E-8</c:v>
                </c:pt>
                <c:pt idx="68">
                  <c:v>-4.0838260000000002E-8</c:v>
                </c:pt>
                <c:pt idx="69">
                  <c:v>-4.0483530000000003E-8</c:v>
                </c:pt>
                <c:pt idx="70">
                  <c:v>-3.9662060000000001E-8</c:v>
                </c:pt>
                <c:pt idx="71">
                  <c:v>-3.9325999999999998E-8</c:v>
                </c:pt>
                <c:pt idx="72">
                  <c:v>-3.9045959999999998E-8</c:v>
                </c:pt>
                <c:pt idx="73">
                  <c:v>-3.8317840000000001E-8</c:v>
                </c:pt>
                <c:pt idx="74">
                  <c:v>-3.8168480000000002E-8</c:v>
                </c:pt>
                <c:pt idx="75">
                  <c:v>-3.7776420000000002E-8</c:v>
                </c:pt>
                <c:pt idx="76">
                  <c:v>-3.6973620000000002E-8</c:v>
                </c:pt>
                <c:pt idx="77">
                  <c:v>-3.5442699999999999E-8</c:v>
                </c:pt>
                <c:pt idx="78">
                  <c:v>-3.5330679999999998E-8</c:v>
                </c:pt>
                <c:pt idx="79">
                  <c:v>-3.5330679999999998E-8</c:v>
                </c:pt>
                <c:pt idx="80">
                  <c:v>-3.4845260000000002E-8</c:v>
                </c:pt>
                <c:pt idx="81">
                  <c:v>-3.3799760000000001E-8</c:v>
                </c:pt>
                <c:pt idx="82">
                  <c:v>-3.30343E-8</c:v>
                </c:pt>
                <c:pt idx="83">
                  <c:v>-3.2530219999999998E-8</c:v>
                </c:pt>
                <c:pt idx="84">
                  <c:v>-3.2212829999999997E-8</c:v>
                </c:pt>
                <c:pt idx="85">
                  <c:v>-3.1858099999999999E-8</c:v>
                </c:pt>
                <c:pt idx="86">
                  <c:v>-3.0868609999999998E-8</c:v>
                </c:pt>
                <c:pt idx="87">
                  <c:v>-2.9655069999999999E-8</c:v>
                </c:pt>
                <c:pt idx="88">
                  <c:v>-2.9916449999999999E-8</c:v>
                </c:pt>
                <c:pt idx="89">
                  <c:v>-2.844154E-8</c:v>
                </c:pt>
                <c:pt idx="90">
                  <c:v>-2.831085E-8</c:v>
                </c:pt>
                <c:pt idx="91">
                  <c:v>-2.7862779999999999E-8</c:v>
                </c:pt>
                <c:pt idx="92">
                  <c:v>-2.7414710000000001E-8</c:v>
                </c:pt>
                <c:pt idx="93">
                  <c:v>-2.6518559999999999E-8</c:v>
                </c:pt>
                <c:pt idx="94">
                  <c:v>-2.5193009999999999E-8</c:v>
                </c:pt>
                <c:pt idx="95">
                  <c:v>-2.4632910000000001E-8</c:v>
                </c:pt>
                <c:pt idx="96">
                  <c:v>-2.4147499999999998E-8</c:v>
                </c:pt>
                <c:pt idx="97">
                  <c:v>-2.3606079999999999E-8</c:v>
                </c:pt>
                <c:pt idx="98">
                  <c:v>-2.185112E-8</c:v>
                </c:pt>
                <c:pt idx="99">
                  <c:v>-2.2168510000000001E-8</c:v>
                </c:pt>
                <c:pt idx="100">
                  <c:v>-2.138438E-8</c:v>
                </c:pt>
                <c:pt idx="101">
                  <c:v>-2.119768E-8</c:v>
                </c:pt>
                <c:pt idx="102">
                  <c:v>-2.039488E-8</c:v>
                </c:pt>
                <c:pt idx="103">
                  <c:v>-1.9741439999999999E-8</c:v>
                </c:pt>
                <c:pt idx="104">
                  <c:v>-1.920002E-8</c:v>
                </c:pt>
                <c:pt idx="105">
                  <c:v>-1.8098500000000002E-8</c:v>
                </c:pt>
                <c:pt idx="106">
                  <c:v>-1.746373E-8</c:v>
                </c:pt>
                <c:pt idx="107">
                  <c:v>-1.6418219999999999E-8</c:v>
                </c:pt>
                <c:pt idx="108">
                  <c:v>-1.639955E-8</c:v>
                </c:pt>
                <c:pt idx="109">
                  <c:v>-1.440189E-8</c:v>
                </c:pt>
                <c:pt idx="110">
                  <c:v>-1.3729780000000001E-8</c:v>
                </c:pt>
                <c:pt idx="111">
                  <c:v>-1.3319049999999999E-8</c:v>
                </c:pt>
                <c:pt idx="112">
                  <c:v>-1.2124179999999999E-8</c:v>
                </c:pt>
                <c:pt idx="113">
                  <c:v>-1.1732120000000001E-8</c:v>
                </c:pt>
                <c:pt idx="114">
                  <c:v>-1.0369230000000001E-8</c:v>
                </c:pt>
                <c:pt idx="115">
                  <c:v>-9.7531239999999995E-9</c:v>
                </c:pt>
                <c:pt idx="116">
                  <c:v>-9.3983990000000006E-9</c:v>
                </c:pt>
                <c:pt idx="117">
                  <c:v>-8.5022499999999993E-9</c:v>
                </c:pt>
                <c:pt idx="118">
                  <c:v>-7.1020200000000003E-9</c:v>
                </c:pt>
                <c:pt idx="119">
                  <c:v>-6.7286249999999998E-9</c:v>
                </c:pt>
                <c:pt idx="120">
                  <c:v>-5.5711000000000003E-9</c:v>
                </c:pt>
                <c:pt idx="121">
                  <c:v>-4.5629339999999997E-9</c:v>
                </c:pt>
                <c:pt idx="122">
                  <c:v>-3.629447E-9</c:v>
                </c:pt>
                <c:pt idx="123">
                  <c:v>-3.5921070000000002E-9</c:v>
                </c:pt>
                <c:pt idx="124">
                  <c:v>-2.490592E-9</c:v>
                </c:pt>
                <c:pt idx="125">
                  <c:v>-1.9491689999999999E-9</c:v>
                </c:pt>
                <c:pt idx="126">
                  <c:v>-1.2583889999999999E-9</c:v>
                </c:pt>
                <c:pt idx="127">
                  <c:v>1.255325E-5</c:v>
                </c:pt>
                <c:pt idx="128">
                  <c:v>2.7720049999999999E-5</c:v>
                </c:pt>
                <c:pt idx="129">
                  <c:v>4.0724969999999998E-5</c:v>
                </c:pt>
                <c:pt idx="130">
                  <c:v>5.1889460000000002E-5</c:v>
                </c:pt>
                <c:pt idx="131">
                  <c:v>6.3293029999999994E-5</c:v>
                </c:pt>
                <c:pt idx="132">
                  <c:v>7.2942120000000002E-5</c:v>
                </c:pt>
                <c:pt idx="133">
                  <c:v>8.2158120000000003E-5</c:v>
                </c:pt>
                <c:pt idx="134">
                  <c:v>9.0648780000000004E-5</c:v>
                </c:pt>
                <c:pt idx="135">
                  <c:v>9.8562670000000002E-5</c:v>
                </c:pt>
                <c:pt idx="136">
                  <c:v>1.05628E-4</c:v>
                </c:pt>
                <c:pt idx="137">
                  <c:v>1.115451E-4</c:v>
                </c:pt>
                <c:pt idx="138">
                  <c:v>1.176246E-4</c:v>
                </c:pt>
                <c:pt idx="139">
                  <c:v>1.233912E-4</c:v>
                </c:pt>
                <c:pt idx="140">
                  <c:v>1.253208E-4</c:v>
                </c:pt>
                <c:pt idx="141">
                  <c:v>1.261589E-4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83-4649-9B77-3210CC7529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2285327"/>
        <c:axId val="1402288207"/>
      </c:scatterChart>
      <c:valAx>
        <c:axId val="1402285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Vce</a:t>
                </a:r>
                <a:r>
                  <a:rPr lang="en-US" altLang="ja-JP" baseline="0"/>
                  <a:t> (V)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02288207"/>
        <c:crossesAt val="-2.0000000000000008E-5"/>
        <c:crossBetween val="midCat"/>
      </c:valAx>
      <c:valAx>
        <c:axId val="1402288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Ic</a:t>
                </a:r>
                <a:r>
                  <a:rPr lang="en-US" altLang="ja-JP" baseline="0"/>
                  <a:t> (A)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02285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45901913285065"/>
          <c:y val="6.9444444444444448E-2"/>
          <c:w val="0.82518471297891782"/>
          <c:h val="0.81849518810148736"/>
        </c:manualLayout>
      </c:layout>
      <c:scatterChart>
        <c:scatterStyle val="lineMarker"/>
        <c:varyColors val="0"/>
        <c:ser>
          <c:idx val="0"/>
          <c:order val="0"/>
          <c:tx>
            <c:v>5 V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'Si-IGBT'!$B$3:$B$102</c:f>
              <c:numCache>
                <c:formatCode>General</c:formatCode>
                <c:ptCount val="100"/>
                <c:pt idx="0" formatCode="0.00E+00">
                  <c:v>9.9297990000000004E-4</c:v>
                </c:pt>
                <c:pt idx="1">
                  <c:v>9.3430180000000002E-2</c:v>
                </c:pt>
                <c:pt idx="2">
                  <c:v>0.18692729999999999</c:v>
                </c:pt>
                <c:pt idx="3">
                  <c:v>0.28008959999999999</c:v>
                </c:pt>
                <c:pt idx="4">
                  <c:v>0.37598549999999997</c:v>
                </c:pt>
                <c:pt idx="5">
                  <c:v>0.46691650000000001</c:v>
                </c:pt>
                <c:pt idx="6">
                  <c:v>0.55907470000000004</c:v>
                </c:pt>
                <c:pt idx="7">
                  <c:v>0.65273910000000002</c:v>
                </c:pt>
                <c:pt idx="8">
                  <c:v>0.74221959999999998</c:v>
                </c:pt>
                <c:pt idx="9">
                  <c:v>0.83404310000000004</c:v>
                </c:pt>
                <c:pt idx="10">
                  <c:v>0.92765180000000003</c:v>
                </c:pt>
                <c:pt idx="11">
                  <c:v>1.0178020000000001</c:v>
                </c:pt>
                <c:pt idx="12">
                  <c:v>1.1139209999999999</c:v>
                </c:pt>
                <c:pt idx="13">
                  <c:v>1.2074739999999999</c:v>
                </c:pt>
                <c:pt idx="14">
                  <c:v>1.299688</c:v>
                </c:pt>
                <c:pt idx="15">
                  <c:v>1.39391</c:v>
                </c:pt>
                <c:pt idx="16">
                  <c:v>1.4872399999999999</c:v>
                </c:pt>
                <c:pt idx="17">
                  <c:v>1.5814619999999999</c:v>
                </c:pt>
                <c:pt idx="18">
                  <c:v>1.6751259999999999</c:v>
                </c:pt>
                <c:pt idx="19">
                  <c:v>1.7696829999999999</c:v>
                </c:pt>
                <c:pt idx="20">
                  <c:v>1.86134</c:v>
                </c:pt>
                <c:pt idx="21">
                  <c:v>1.95824</c:v>
                </c:pt>
                <c:pt idx="22">
                  <c:v>2.0510670000000002</c:v>
                </c:pt>
                <c:pt idx="23">
                  <c:v>2.1716760000000002</c:v>
                </c:pt>
                <c:pt idx="24">
                  <c:v>2.2397909999999999</c:v>
                </c:pt>
                <c:pt idx="25">
                  <c:v>2.3333439999999999</c:v>
                </c:pt>
                <c:pt idx="26">
                  <c:v>2.4280119999999998</c:v>
                </c:pt>
                <c:pt idx="27">
                  <c:v>2.5228480000000002</c:v>
                </c:pt>
                <c:pt idx="28">
                  <c:v>2.615955</c:v>
                </c:pt>
                <c:pt idx="29">
                  <c:v>2.710121</c:v>
                </c:pt>
                <c:pt idx="30">
                  <c:v>2.8016100000000002</c:v>
                </c:pt>
                <c:pt idx="31">
                  <c:v>2.8973390000000001</c:v>
                </c:pt>
                <c:pt idx="32">
                  <c:v>2.9912260000000002</c:v>
                </c:pt>
                <c:pt idx="33">
                  <c:v>3.0838869999999998</c:v>
                </c:pt>
                <c:pt idx="34">
                  <c:v>3.1790020000000001</c:v>
                </c:pt>
                <c:pt idx="35">
                  <c:v>3.2721640000000001</c:v>
                </c:pt>
                <c:pt idx="36">
                  <c:v>3.3654380000000002</c:v>
                </c:pt>
                <c:pt idx="37">
                  <c:v>3.45966</c:v>
                </c:pt>
                <c:pt idx="38">
                  <c:v>3.554217</c:v>
                </c:pt>
                <c:pt idx="39">
                  <c:v>3.647491</c:v>
                </c:pt>
                <c:pt idx="40">
                  <c:v>3.741657</c:v>
                </c:pt>
                <c:pt idx="41">
                  <c:v>3.8342619999999998</c:v>
                </c:pt>
                <c:pt idx="42">
                  <c:v>3.9279269999999999</c:v>
                </c:pt>
                <c:pt idx="43">
                  <c:v>4.0236549999999998</c:v>
                </c:pt>
                <c:pt idx="44">
                  <c:v>4.1164829999999997</c:v>
                </c:pt>
                <c:pt idx="45">
                  <c:v>4.2086969999999999</c:v>
                </c:pt>
                <c:pt idx="46">
                  <c:v>4.3545769999999999</c:v>
                </c:pt>
                <c:pt idx="47">
                  <c:v>4.3957470000000001</c:v>
                </c:pt>
                <c:pt idx="48">
                  <c:v>4.4891880000000004</c:v>
                </c:pt>
                <c:pt idx="49">
                  <c:v>4.5858090000000002</c:v>
                </c:pt>
                <c:pt idx="50">
                  <c:v>4.6788600000000002</c:v>
                </c:pt>
                <c:pt idx="51">
                  <c:v>4.7719110000000002</c:v>
                </c:pt>
                <c:pt idx="52">
                  <c:v>4.8681970000000003</c:v>
                </c:pt>
                <c:pt idx="53">
                  <c:v>4.9605230000000002</c:v>
                </c:pt>
                <c:pt idx="54">
                  <c:v>5.055415</c:v>
                </c:pt>
                <c:pt idx="55">
                  <c:v>5.148409</c:v>
                </c:pt>
                <c:pt idx="56">
                  <c:v>5.2416280000000004</c:v>
                </c:pt>
                <c:pt idx="57">
                  <c:v>5.336519</c:v>
                </c:pt>
                <c:pt idx="58">
                  <c:v>5.4266129999999997</c:v>
                </c:pt>
                <c:pt idx="59">
                  <c:v>5.5240150000000003</c:v>
                </c:pt>
                <c:pt idx="60">
                  <c:v>5.6172899999999997</c:v>
                </c:pt>
                <c:pt idx="61">
                  <c:v>5.7096710000000002</c:v>
                </c:pt>
                <c:pt idx="62">
                  <c:v>5.8049530000000003</c:v>
                </c:pt>
                <c:pt idx="63">
                  <c:v>5.8959400000000004</c:v>
                </c:pt>
                <c:pt idx="64">
                  <c:v>5.9915570000000002</c:v>
                </c:pt>
                <c:pt idx="65">
                  <c:v>6.0847749999999996</c:v>
                </c:pt>
                <c:pt idx="66">
                  <c:v>6.1791090000000004</c:v>
                </c:pt>
                <c:pt idx="67">
                  <c:v>6.2757860000000001</c:v>
                </c:pt>
                <c:pt idx="68">
                  <c:v>6.3672750000000002</c:v>
                </c:pt>
                <c:pt idx="69">
                  <c:v>6.5417170000000002</c:v>
                </c:pt>
                <c:pt idx="70">
                  <c:v>6.5566120000000003</c:v>
                </c:pt>
                <c:pt idx="71">
                  <c:v>6.6498299999999997</c:v>
                </c:pt>
                <c:pt idx="72">
                  <c:v>6.7436059999999998</c:v>
                </c:pt>
                <c:pt idx="73">
                  <c:v>6.8381629999999998</c:v>
                </c:pt>
                <c:pt idx="74">
                  <c:v>6.9307119999999998</c:v>
                </c:pt>
                <c:pt idx="75">
                  <c:v>7.0238180000000003</c:v>
                </c:pt>
                <c:pt idx="76">
                  <c:v>7.118487</c:v>
                </c:pt>
                <c:pt idx="77">
                  <c:v>7.2102550000000001</c:v>
                </c:pt>
                <c:pt idx="78">
                  <c:v>7.3058160000000001</c:v>
                </c:pt>
                <c:pt idx="79">
                  <c:v>7.3979739999999996</c:v>
                </c:pt>
                <c:pt idx="80">
                  <c:v>7.4937579999999997</c:v>
                </c:pt>
                <c:pt idx="81">
                  <c:v>7.5845219999999998</c:v>
                </c:pt>
                <c:pt idx="82">
                  <c:v>7.6789120000000004</c:v>
                </c:pt>
                <c:pt idx="83">
                  <c:v>7.7753649999999999</c:v>
                </c:pt>
                <c:pt idx="84">
                  <c:v>7.8669099999999998</c:v>
                </c:pt>
                <c:pt idx="85">
                  <c:v>7.9635870000000004</c:v>
                </c:pt>
                <c:pt idx="86">
                  <c:v>8.0563579999999995</c:v>
                </c:pt>
                <c:pt idx="87">
                  <c:v>8.148517</c:v>
                </c:pt>
                <c:pt idx="88">
                  <c:v>8.2444690000000005</c:v>
                </c:pt>
                <c:pt idx="89">
                  <c:v>8.3381889999999999</c:v>
                </c:pt>
                <c:pt idx="90">
                  <c:v>8.4298450000000003</c:v>
                </c:pt>
                <c:pt idx="91">
                  <c:v>8.5238440000000004</c:v>
                </c:pt>
                <c:pt idx="92">
                  <c:v>8.7252860000000005</c:v>
                </c:pt>
                <c:pt idx="93">
                  <c:v>8.7134599999999995</c:v>
                </c:pt>
                <c:pt idx="94">
                  <c:v>8.8066230000000001</c:v>
                </c:pt>
                <c:pt idx="95">
                  <c:v>8.9010119999999997</c:v>
                </c:pt>
                <c:pt idx="96">
                  <c:v>8.9930590000000006</c:v>
                </c:pt>
                <c:pt idx="97">
                  <c:v>9.0886750000000003</c:v>
                </c:pt>
                <c:pt idx="98">
                  <c:v>9.1823409999999992</c:v>
                </c:pt>
                <c:pt idx="99">
                  <c:v>9.2758369999999992</c:v>
                </c:pt>
              </c:numCache>
            </c:numRef>
          </c:xVal>
          <c:yVal>
            <c:numRef>
              <c:f>'Si-IGBT'!$C$3:$C$102</c:f>
              <c:numCache>
                <c:formatCode>General</c:formatCode>
                <c:ptCount val="100"/>
                <c:pt idx="0">
                  <c:v>-5.4838559999999996E-3</c:v>
                </c:pt>
                <c:pt idx="1">
                  <c:v>-3.8155749999999999E-3</c:v>
                </c:pt>
                <c:pt idx="2">
                  <c:v>-3.1482620000000002E-3</c:v>
                </c:pt>
                <c:pt idx="3" formatCode="0.00E+00">
                  <c:v>3.5512800000000002E-4</c:v>
                </c:pt>
                <c:pt idx="4">
                  <c:v>-4.1492309999999998E-3</c:v>
                </c:pt>
                <c:pt idx="5">
                  <c:v>3.6916900000000001E-3</c:v>
                </c:pt>
                <c:pt idx="6">
                  <c:v>1.4869169999999999E-2</c:v>
                </c:pt>
                <c:pt idx="7">
                  <c:v>3.171881E-2</c:v>
                </c:pt>
                <c:pt idx="8">
                  <c:v>6.0079590000000002E-2</c:v>
                </c:pt>
                <c:pt idx="9">
                  <c:v>8.0599450000000003E-2</c:v>
                </c:pt>
                <c:pt idx="10">
                  <c:v>9.2277419999999999E-2</c:v>
                </c:pt>
                <c:pt idx="11">
                  <c:v>0.10745879999999999</c:v>
                </c:pt>
                <c:pt idx="12">
                  <c:v>0.1066246</c:v>
                </c:pt>
                <c:pt idx="13">
                  <c:v>0.11162950000000001</c:v>
                </c:pt>
                <c:pt idx="14">
                  <c:v>0.115967</c:v>
                </c:pt>
                <c:pt idx="15">
                  <c:v>0.1147992</c:v>
                </c:pt>
                <c:pt idx="16">
                  <c:v>0.12030449999999999</c:v>
                </c:pt>
                <c:pt idx="17">
                  <c:v>0.1161338</c:v>
                </c:pt>
                <c:pt idx="18">
                  <c:v>0.1206382</c:v>
                </c:pt>
                <c:pt idx="19">
                  <c:v>0.1194704</c:v>
                </c:pt>
                <c:pt idx="20">
                  <c:v>0.1248089</c:v>
                </c:pt>
                <c:pt idx="21">
                  <c:v>0.11997090000000001</c:v>
                </c:pt>
                <c:pt idx="22">
                  <c:v>0.12247329999999999</c:v>
                </c:pt>
                <c:pt idx="23">
                  <c:v>0.1211387</c:v>
                </c:pt>
                <c:pt idx="24">
                  <c:v>0.1221397</c:v>
                </c:pt>
                <c:pt idx="25">
                  <c:v>0.1243084</c:v>
                </c:pt>
                <c:pt idx="26">
                  <c:v>0.12530939999999999</c:v>
                </c:pt>
                <c:pt idx="27">
                  <c:v>0.1233075</c:v>
                </c:pt>
                <c:pt idx="28">
                  <c:v>0.1248089</c:v>
                </c:pt>
                <c:pt idx="29">
                  <c:v>0.1241416</c:v>
                </c:pt>
                <c:pt idx="30">
                  <c:v>0.12764500000000001</c:v>
                </c:pt>
                <c:pt idx="31">
                  <c:v>0.12747820000000001</c:v>
                </c:pt>
                <c:pt idx="32">
                  <c:v>0.1268108</c:v>
                </c:pt>
                <c:pt idx="33">
                  <c:v>0.1319825</c:v>
                </c:pt>
                <c:pt idx="34">
                  <c:v>0.125643</c:v>
                </c:pt>
                <c:pt idx="35">
                  <c:v>0.12847910000000001</c:v>
                </c:pt>
                <c:pt idx="36">
                  <c:v>0.13164890000000001</c:v>
                </c:pt>
                <c:pt idx="37">
                  <c:v>0.12964690000000001</c:v>
                </c:pt>
                <c:pt idx="38">
                  <c:v>0.1321493</c:v>
                </c:pt>
                <c:pt idx="39">
                  <c:v>0.12931329999999999</c:v>
                </c:pt>
                <c:pt idx="40">
                  <c:v>0.13081470000000001</c:v>
                </c:pt>
                <c:pt idx="41">
                  <c:v>0.1351523</c:v>
                </c:pt>
                <c:pt idx="42">
                  <c:v>0.1319825</c:v>
                </c:pt>
                <c:pt idx="43">
                  <c:v>0.13048109999999999</c:v>
                </c:pt>
                <c:pt idx="44">
                  <c:v>0.13181570000000001</c:v>
                </c:pt>
                <c:pt idx="45">
                  <c:v>0.13581960000000001</c:v>
                </c:pt>
                <c:pt idx="46">
                  <c:v>0.13148199999999999</c:v>
                </c:pt>
                <c:pt idx="47">
                  <c:v>0.13231619999999999</c:v>
                </c:pt>
                <c:pt idx="48">
                  <c:v>0.13648689999999999</c:v>
                </c:pt>
                <c:pt idx="49">
                  <c:v>0.1309815</c:v>
                </c:pt>
                <c:pt idx="50">
                  <c:v>0.13248299999999999</c:v>
                </c:pt>
                <c:pt idx="51">
                  <c:v>0.138322</c:v>
                </c:pt>
                <c:pt idx="52">
                  <c:v>0.13148199999999999</c:v>
                </c:pt>
                <c:pt idx="53">
                  <c:v>0.1381551</c:v>
                </c:pt>
                <c:pt idx="54">
                  <c:v>0.13331709999999999</c:v>
                </c:pt>
                <c:pt idx="55">
                  <c:v>0.1343181</c:v>
                </c:pt>
                <c:pt idx="56">
                  <c:v>0.137321</c:v>
                </c:pt>
                <c:pt idx="57">
                  <c:v>0.13248299999999999</c:v>
                </c:pt>
                <c:pt idx="58">
                  <c:v>0.1404907</c:v>
                </c:pt>
                <c:pt idx="59">
                  <c:v>0.1341513</c:v>
                </c:pt>
                <c:pt idx="60">
                  <c:v>0.1353191</c:v>
                </c:pt>
                <c:pt idx="61">
                  <c:v>0.14015710000000001</c:v>
                </c:pt>
                <c:pt idx="62">
                  <c:v>0.13498540000000001</c:v>
                </c:pt>
                <c:pt idx="63">
                  <c:v>0.13665369999999999</c:v>
                </c:pt>
                <c:pt idx="64">
                  <c:v>0.13748779999999999</c:v>
                </c:pt>
                <c:pt idx="65">
                  <c:v>0.138322</c:v>
                </c:pt>
                <c:pt idx="66">
                  <c:v>0.14065759999999999</c:v>
                </c:pt>
                <c:pt idx="67">
                  <c:v>0.1353191</c:v>
                </c:pt>
                <c:pt idx="68">
                  <c:v>0.1403239</c:v>
                </c:pt>
                <c:pt idx="69">
                  <c:v>0.12764500000000001</c:v>
                </c:pt>
                <c:pt idx="70">
                  <c:v>0.13632</c:v>
                </c:pt>
                <c:pt idx="71">
                  <c:v>0.13865559999999999</c:v>
                </c:pt>
                <c:pt idx="72">
                  <c:v>0.1394898</c:v>
                </c:pt>
                <c:pt idx="73">
                  <c:v>0.137321</c:v>
                </c:pt>
                <c:pt idx="74">
                  <c:v>0.13999030000000001</c:v>
                </c:pt>
                <c:pt idx="75">
                  <c:v>0.14416100000000001</c:v>
                </c:pt>
                <c:pt idx="76">
                  <c:v>0.13898930000000001</c:v>
                </c:pt>
                <c:pt idx="77">
                  <c:v>0.13882249999999999</c:v>
                </c:pt>
                <c:pt idx="78">
                  <c:v>0.1413249</c:v>
                </c:pt>
                <c:pt idx="79">
                  <c:v>0.14299319999999999</c:v>
                </c:pt>
                <c:pt idx="80">
                  <c:v>0.13898930000000001</c:v>
                </c:pt>
                <c:pt idx="81">
                  <c:v>0.1466634</c:v>
                </c:pt>
                <c:pt idx="82">
                  <c:v>0.1434937</c:v>
                </c:pt>
                <c:pt idx="83">
                  <c:v>0.14065759999999999</c:v>
                </c:pt>
                <c:pt idx="84">
                  <c:v>0.1466634</c:v>
                </c:pt>
                <c:pt idx="85">
                  <c:v>0.1394898</c:v>
                </c:pt>
                <c:pt idx="86">
                  <c:v>0.14265949999999999</c:v>
                </c:pt>
                <c:pt idx="87">
                  <c:v>0.14699699999999999</c:v>
                </c:pt>
                <c:pt idx="88">
                  <c:v>0.1403239</c:v>
                </c:pt>
                <c:pt idx="89">
                  <c:v>0.14282629999999999</c:v>
                </c:pt>
                <c:pt idx="90">
                  <c:v>0.14716389999999999</c:v>
                </c:pt>
                <c:pt idx="91">
                  <c:v>0.14699699999999999</c:v>
                </c:pt>
                <c:pt idx="92">
                  <c:v>0.1353191</c:v>
                </c:pt>
                <c:pt idx="93">
                  <c:v>0.14399410000000001</c:v>
                </c:pt>
                <c:pt idx="94">
                  <c:v>0.1474975</c:v>
                </c:pt>
                <c:pt idx="95">
                  <c:v>0.1423258</c:v>
                </c:pt>
                <c:pt idx="96">
                  <c:v>0.1498331</c:v>
                </c:pt>
                <c:pt idx="97">
                  <c:v>0.14432780000000001</c:v>
                </c:pt>
                <c:pt idx="98">
                  <c:v>0.14432780000000001</c:v>
                </c:pt>
                <c:pt idx="99">
                  <c:v>0.1464966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E6-4F67-8E0F-4CB1726DA37A}"/>
            </c:ext>
          </c:extLst>
        </c:ser>
        <c:ser>
          <c:idx val="1"/>
          <c:order val="1"/>
          <c:tx>
            <c:v>8 V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'Si-IGBT'!$D$3:$D$102</c:f>
              <c:numCache>
                <c:formatCode>General</c:formatCode>
                <c:ptCount val="100"/>
                <c:pt idx="0" formatCode="0.00E+00">
                  <c:v>9.9301209999999997E-4</c:v>
                </c:pt>
                <c:pt idx="1">
                  <c:v>9.3315300000000004E-2</c:v>
                </c:pt>
                <c:pt idx="2">
                  <c:v>0.18647430000000001</c:v>
                </c:pt>
                <c:pt idx="3">
                  <c:v>0.28063739999999998</c:v>
                </c:pt>
                <c:pt idx="4">
                  <c:v>0.37552570000000002</c:v>
                </c:pt>
                <c:pt idx="5">
                  <c:v>0.4665649</c:v>
                </c:pt>
                <c:pt idx="6">
                  <c:v>0.56234580000000001</c:v>
                </c:pt>
                <c:pt idx="7">
                  <c:v>0.6549469</c:v>
                </c:pt>
                <c:pt idx="8">
                  <c:v>0.74487049999999999</c:v>
                </c:pt>
                <c:pt idx="9">
                  <c:v>0.83663489999999996</c:v>
                </c:pt>
                <c:pt idx="10">
                  <c:v>0.92678159999999998</c:v>
                </c:pt>
                <c:pt idx="11">
                  <c:v>1.0105690000000001</c:v>
                </c:pt>
                <c:pt idx="12">
                  <c:v>1.0982050000000001</c:v>
                </c:pt>
                <c:pt idx="13">
                  <c:v>1.182941</c:v>
                </c:pt>
                <c:pt idx="14">
                  <c:v>1.2715259999999999</c:v>
                </c:pt>
                <c:pt idx="15">
                  <c:v>1.3603890000000001</c:v>
                </c:pt>
                <c:pt idx="16">
                  <c:v>1.4463520000000001</c:v>
                </c:pt>
                <c:pt idx="17">
                  <c:v>1.530195</c:v>
                </c:pt>
                <c:pt idx="18">
                  <c:v>1.6158239999999999</c:v>
                </c:pt>
                <c:pt idx="19">
                  <c:v>1.704297</c:v>
                </c:pt>
                <c:pt idx="20">
                  <c:v>1.793941</c:v>
                </c:pt>
                <c:pt idx="21">
                  <c:v>1.8871560000000001</c:v>
                </c:pt>
                <c:pt idx="22">
                  <c:v>1.978307</c:v>
                </c:pt>
                <c:pt idx="23">
                  <c:v>2.091771</c:v>
                </c:pt>
                <c:pt idx="24">
                  <c:v>2.1576520000000001</c:v>
                </c:pt>
                <c:pt idx="25">
                  <c:v>2.2500300000000002</c:v>
                </c:pt>
                <c:pt idx="26">
                  <c:v>2.3374429999999999</c:v>
                </c:pt>
                <c:pt idx="27">
                  <c:v>2.4301560000000002</c:v>
                </c:pt>
                <c:pt idx="28">
                  <c:v>2.518964</c:v>
                </c:pt>
                <c:pt idx="29">
                  <c:v>2.6108959999999999</c:v>
                </c:pt>
                <c:pt idx="30">
                  <c:v>2.6998709999999999</c:v>
                </c:pt>
                <c:pt idx="31">
                  <c:v>2.792751</c:v>
                </c:pt>
                <c:pt idx="32">
                  <c:v>2.8838460000000001</c:v>
                </c:pt>
                <c:pt idx="33">
                  <c:v>2.9755539999999998</c:v>
                </c:pt>
                <c:pt idx="34">
                  <c:v>3.0677089999999998</c:v>
                </c:pt>
                <c:pt idx="35">
                  <c:v>3.1605340000000002</c:v>
                </c:pt>
                <c:pt idx="36">
                  <c:v>3.2493409999999998</c:v>
                </c:pt>
                <c:pt idx="37">
                  <c:v>3.3424999999999998</c:v>
                </c:pt>
                <c:pt idx="38">
                  <c:v>3.4357150000000001</c:v>
                </c:pt>
                <c:pt idx="39">
                  <c:v>3.524858</c:v>
                </c:pt>
                <c:pt idx="40">
                  <c:v>3.618296</c:v>
                </c:pt>
                <c:pt idx="41">
                  <c:v>3.708777</c:v>
                </c:pt>
                <c:pt idx="42">
                  <c:v>3.8027730000000002</c:v>
                </c:pt>
                <c:pt idx="43">
                  <c:v>3.8958759999999999</c:v>
                </c:pt>
                <c:pt idx="44">
                  <c:v>3.9879199999999999</c:v>
                </c:pt>
                <c:pt idx="45">
                  <c:v>4.0806880000000003</c:v>
                </c:pt>
                <c:pt idx="46">
                  <c:v>4.2293520000000004</c:v>
                </c:pt>
                <c:pt idx="47">
                  <c:v>4.2684009999999999</c:v>
                </c:pt>
                <c:pt idx="48">
                  <c:v>4.3596069999999996</c:v>
                </c:pt>
                <c:pt idx="49">
                  <c:v>4.4639230000000003</c:v>
                </c:pt>
                <c:pt idx="50">
                  <c:v>4.5574729999999999</c:v>
                </c:pt>
                <c:pt idx="51">
                  <c:v>4.6514119999999997</c:v>
                </c:pt>
                <c:pt idx="52">
                  <c:v>4.744237</c:v>
                </c:pt>
                <c:pt idx="53">
                  <c:v>4.837396</c:v>
                </c:pt>
                <c:pt idx="54">
                  <c:v>4.9313359999999999</c:v>
                </c:pt>
                <c:pt idx="55">
                  <c:v>5.023714</c:v>
                </c:pt>
                <c:pt idx="56">
                  <c:v>5.1183230000000002</c:v>
                </c:pt>
                <c:pt idx="57">
                  <c:v>5.2127650000000001</c:v>
                </c:pt>
                <c:pt idx="58">
                  <c:v>5.3048640000000002</c:v>
                </c:pt>
                <c:pt idx="59">
                  <c:v>5.3978000000000002</c:v>
                </c:pt>
                <c:pt idx="60">
                  <c:v>5.4929680000000003</c:v>
                </c:pt>
                <c:pt idx="61">
                  <c:v>5.5877999999999997</c:v>
                </c:pt>
                <c:pt idx="62">
                  <c:v>5.6819069999999998</c:v>
                </c:pt>
                <c:pt idx="63">
                  <c:v>5.7737270000000001</c:v>
                </c:pt>
                <c:pt idx="64">
                  <c:v>5.8685039999999997</c:v>
                </c:pt>
                <c:pt idx="65">
                  <c:v>5.9612730000000003</c:v>
                </c:pt>
                <c:pt idx="66">
                  <c:v>6.0549340000000003</c:v>
                </c:pt>
                <c:pt idx="67">
                  <c:v>6.1485950000000003</c:v>
                </c:pt>
                <c:pt idx="68">
                  <c:v>6.2410290000000002</c:v>
                </c:pt>
                <c:pt idx="69">
                  <c:v>6.4155759999999997</c:v>
                </c:pt>
                <c:pt idx="70">
                  <c:v>6.4313630000000002</c:v>
                </c:pt>
                <c:pt idx="71">
                  <c:v>6.5266419999999998</c:v>
                </c:pt>
                <c:pt idx="72">
                  <c:v>6.6191870000000002</c:v>
                </c:pt>
                <c:pt idx="73">
                  <c:v>6.7119559999999998</c:v>
                </c:pt>
                <c:pt idx="74">
                  <c:v>6.8076809999999996</c:v>
                </c:pt>
                <c:pt idx="75">
                  <c:v>6.9000029999999999</c:v>
                </c:pt>
                <c:pt idx="76">
                  <c:v>6.9945570000000004</c:v>
                </c:pt>
                <c:pt idx="77">
                  <c:v>7.0891659999999996</c:v>
                </c:pt>
                <c:pt idx="78">
                  <c:v>7.1829939999999999</c:v>
                </c:pt>
                <c:pt idx="79">
                  <c:v>7.2749259999999998</c:v>
                </c:pt>
                <c:pt idx="80">
                  <c:v>7.3704840000000003</c:v>
                </c:pt>
                <c:pt idx="81">
                  <c:v>7.4657070000000001</c:v>
                </c:pt>
                <c:pt idx="82">
                  <c:v>7.558643</c:v>
                </c:pt>
                <c:pt idx="83">
                  <c:v>7.6491800000000003</c:v>
                </c:pt>
                <c:pt idx="84">
                  <c:v>7.7444030000000001</c:v>
                </c:pt>
                <c:pt idx="85">
                  <c:v>7.8395700000000001</c:v>
                </c:pt>
                <c:pt idx="86">
                  <c:v>7.9343469999999998</c:v>
                </c:pt>
                <c:pt idx="87">
                  <c:v>8.0286770000000001</c:v>
                </c:pt>
                <c:pt idx="88">
                  <c:v>8.1213339999999992</c:v>
                </c:pt>
                <c:pt idx="89">
                  <c:v>8.2148280000000007</c:v>
                </c:pt>
                <c:pt idx="90">
                  <c:v>8.3078190000000003</c:v>
                </c:pt>
                <c:pt idx="91">
                  <c:v>8.4013139999999993</c:v>
                </c:pt>
                <c:pt idx="92">
                  <c:v>8.6040320000000001</c:v>
                </c:pt>
                <c:pt idx="93">
                  <c:v>8.5912019999999991</c:v>
                </c:pt>
                <c:pt idx="94">
                  <c:v>8.6854200000000006</c:v>
                </c:pt>
                <c:pt idx="95">
                  <c:v>8.7804199999999994</c:v>
                </c:pt>
                <c:pt idx="96">
                  <c:v>8.8720730000000003</c:v>
                </c:pt>
                <c:pt idx="97">
                  <c:v>8.9659010000000006</c:v>
                </c:pt>
                <c:pt idx="98">
                  <c:v>9.0603440000000006</c:v>
                </c:pt>
                <c:pt idx="99">
                  <c:v>9.1542840000000005</c:v>
                </c:pt>
              </c:numCache>
            </c:numRef>
          </c:xVal>
          <c:yVal>
            <c:numRef>
              <c:f>'Si-IGBT'!$E$3:$E$102</c:f>
              <c:numCache>
                <c:formatCode>General</c:formatCode>
                <c:ptCount val="100"/>
                <c:pt idx="0">
                  <c:v>-6.3186240000000001E-3</c:v>
                </c:pt>
                <c:pt idx="1">
                  <c:v>-4.1499309999999999E-3</c:v>
                </c:pt>
                <c:pt idx="2">
                  <c:v>-3.3158189999999998E-3</c:v>
                </c:pt>
                <c:pt idx="3">
                  <c:v>-5.4845120000000004E-3</c:v>
                </c:pt>
                <c:pt idx="4">
                  <c:v>-4.984044E-3</c:v>
                </c:pt>
                <c:pt idx="5">
                  <c:v>4.3580169999999996E-3</c:v>
                </c:pt>
                <c:pt idx="6">
                  <c:v>1.470101E-2</c:v>
                </c:pt>
                <c:pt idx="7">
                  <c:v>6.2245429999999997E-2</c:v>
                </c:pt>
                <c:pt idx="8">
                  <c:v>0.15299689999999999</c:v>
                </c:pt>
                <c:pt idx="9">
                  <c:v>0.28345209999999998</c:v>
                </c:pt>
                <c:pt idx="10">
                  <c:v>0.47196149999999998</c:v>
                </c:pt>
                <c:pt idx="11">
                  <c:v>0.71368739999999997</c:v>
                </c:pt>
                <c:pt idx="12">
                  <c:v>0.99361549999999998</c:v>
                </c:pt>
                <c:pt idx="13">
                  <c:v>1.321088</c:v>
                </c:pt>
                <c:pt idx="14">
                  <c:v>1.720294</c:v>
                </c:pt>
                <c:pt idx="15">
                  <c:v>2.158204</c:v>
                </c:pt>
                <c:pt idx="16">
                  <c:v>2.6052879999999998</c:v>
                </c:pt>
                <c:pt idx="17">
                  <c:v>3.0750600000000001</c:v>
                </c:pt>
                <c:pt idx="18">
                  <c:v>3.5985490000000002</c:v>
                </c:pt>
                <c:pt idx="19">
                  <c:v>4.1462269999999997</c:v>
                </c:pt>
                <c:pt idx="20">
                  <c:v>4.7342769999999996</c:v>
                </c:pt>
                <c:pt idx="21">
                  <c:v>5.3725399999999999</c:v>
                </c:pt>
                <c:pt idx="22">
                  <c:v>5.9886150000000002</c:v>
                </c:pt>
                <c:pt idx="23">
                  <c:v>6.722467</c:v>
                </c:pt>
                <c:pt idx="24">
                  <c:v>7.265809</c:v>
                </c:pt>
                <c:pt idx="25">
                  <c:v>7.9189189999999998</c:v>
                </c:pt>
                <c:pt idx="26">
                  <c:v>8.5698600000000003</c:v>
                </c:pt>
                <c:pt idx="27">
                  <c:v>9.2179649999999995</c:v>
                </c:pt>
                <c:pt idx="28">
                  <c:v>9.885256</c:v>
                </c:pt>
                <c:pt idx="29">
                  <c:v>10.528359999999999</c:v>
                </c:pt>
                <c:pt idx="30">
                  <c:v>11.16779</c:v>
                </c:pt>
                <c:pt idx="31">
                  <c:v>11.798209999999999</c:v>
                </c:pt>
                <c:pt idx="32">
                  <c:v>12.42163</c:v>
                </c:pt>
                <c:pt idx="33">
                  <c:v>13.050879999999999</c:v>
                </c:pt>
                <c:pt idx="34">
                  <c:v>13.659610000000001</c:v>
                </c:pt>
                <c:pt idx="35">
                  <c:v>14.247159999999999</c:v>
                </c:pt>
                <c:pt idx="36">
                  <c:v>14.8217</c:v>
                </c:pt>
                <c:pt idx="37">
                  <c:v>15.370380000000001</c:v>
                </c:pt>
                <c:pt idx="38">
                  <c:v>15.909879999999999</c:v>
                </c:pt>
                <c:pt idx="39">
                  <c:v>16.42737</c:v>
                </c:pt>
                <c:pt idx="40">
                  <c:v>16.906649999999999</c:v>
                </c:pt>
                <c:pt idx="41">
                  <c:v>17.383929999999999</c:v>
                </c:pt>
                <c:pt idx="42">
                  <c:v>17.815829999999998</c:v>
                </c:pt>
                <c:pt idx="43">
                  <c:v>18.230219999999999</c:v>
                </c:pt>
                <c:pt idx="44">
                  <c:v>18.635259999999999</c:v>
                </c:pt>
                <c:pt idx="45">
                  <c:v>18.996929999999999</c:v>
                </c:pt>
                <c:pt idx="46">
                  <c:v>19.648209999999999</c:v>
                </c:pt>
                <c:pt idx="47">
                  <c:v>19.658550000000002</c:v>
                </c:pt>
                <c:pt idx="48">
                  <c:v>19.95149</c:v>
                </c:pt>
                <c:pt idx="49">
                  <c:v>20.214739999999999</c:v>
                </c:pt>
                <c:pt idx="50">
                  <c:v>20.488489999999999</c:v>
                </c:pt>
                <c:pt idx="51">
                  <c:v>20.70637</c:v>
                </c:pt>
                <c:pt idx="52">
                  <c:v>20.892710000000001</c:v>
                </c:pt>
                <c:pt idx="53">
                  <c:v>21.0702</c:v>
                </c:pt>
                <c:pt idx="54">
                  <c:v>21.218509999999998</c:v>
                </c:pt>
                <c:pt idx="55">
                  <c:v>21.364149999999999</c:v>
                </c:pt>
                <c:pt idx="56">
                  <c:v>21.472079999999998</c:v>
                </c:pt>
                <c:pt idx="57">
                  <c:v>21.57751</c:v>
                </c:pt>
                <c:pt idx="58">
                  <c:v>21.674939999999999</c:v>
                </c:pt>
                <c:pt idx="59">
                  <c:v>21.75985</c:v>
                </c:pt>
                <c:pt idx="60">
                  <c:v>21.836089999999999</c:v>
                </c:pt>
                <c:pt idx="61">
                  <c:v>21.907990000000002</c:v>
                </c:pt>
                <c:pt idx="62">
                  <c:v>21.973220000000001</c:v>
                </c:pt>
                <c:pt idx="63">
                  <c:v>22.02993</c:v>
                </c:pt>
                <c:pt idx="64">
                  <c:v>22.072310000000002</c:v>
                </c:pt>
                <c:pt idx="65">
                  <c:v>22.12302</c:v>
                </c:pt>
                <c:pt idx="66">
                  <c:v>22.161560000000001</c:v>
                </c:pt>
                <c:pt idx="67">
                  <c:v>22.207930000000001</c:v>
                </c:pt>
                <c:pt idx="68">
                  <c:v>22.246970000000001</c:v>
                </c:pt>
                <c:pt idx="69">
                  <c:v>22.586449999999999</c:v>
                </c:pt>
                <c:pt idx="70">
                  <c:v>22.319369999999999</c:v>
                </c:pt>
                <c:pt idx="71">
                  <c:v>22.338719999999999</c:v>
                </c:pt>
                <c:pt idx="72">
                  <c:v>22.376919999999998</c:v>
                </c:pt>
                <c:pt idx="73">
                  <c:v>22.40211</c:v>
                </c:pt>
                <c:pt idx="74">
                  <c:v>22.418959999999998</c:v>
                </c:pt>
                <c:pt idx="75">
                  <c:v>22.453659999999999</c:v>
                </c:pt>
                <c:pt idx="76">
                  <c:v>22.470009999999998</c:v>
                </c:pt>
                <c:pt idx="77">
                  <c:v>22.4877</c:v>
                </c:pt>
                <c:pt idx="78">
                  <c:v>22.511379999999999</c:v>
                </c:pt>
                <c:pt idx="79">
                  <c:v>22.5319</c:v>
                </c:pt>
                <c:pt idx="80">
                  <c:v>22.545249999999999</c:v>
                </c:pt>
                <c:pt idx="81">
                  <c:v>22.562930000000001</c:v>
                </c:pt>
                <c:pt idx="82">
                  <c:v>22.57995</c:v>
                </c:pt>
                <c:pt idx="83">
                  <c:v>22.592459999999999</c:v>
                </c:pt>
                <c:pt idx="84">
                  <c:v>22.613479999999999</c:v>
                </c:pt>
                <c:pt idx="85">
                  <c:v>22.622990000000001</c:v>
                </c:pt>
                <c:pt idx="86">
                  <c:v>22.638000000000002</c:v>
                </c:pt>
                <c:pt idx="87">
                  <c:v>22.647680000000001</c:v>
                </c:pt>
                <c:pt idx="88">
                  <c:v>22.659520000000001</c:v>
                </c:pt>
                <c:pt idx="89">
                  <c:v>22.676369999999999</c:v>
                </c:pt>
                <c:pt idx="90">
                  <c:v>22.686879999999999</c:v>
                </c:pt>
                <c:pt idx="91">
                  <c:v>22.70356</c:v>
                </c:pt>
                <c:pt idx="92">
                  <c:v>22.977989999999998</c:v>
                </c:pt>
                <c:pt idx="93">
                  <c:v>22.71491</c:v>
                </c:pt>
                <c:pt idx="94">
                  <c:v>22.723579999999998</c:v>
                </c:pt>
                <c:pt idx="95">
                  <c:v>22.730090000000001</c:v>
                </c:pt>
                <c:pt idx="96">
                  <c:v>22.749939999999999</c:v>
                </c:pt>
                <c:pt idx="97">
                  <c:v>22.753609999999998</c:v>
                </c:pt>
                <c:pt idx="98">
                  <c:v>22.76512</c:v>
                </c:pt>
                <c:pt idx="99">
                  <c:v>22.772459999999999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E6-4F67-8E0F-4CB1726DA37A}"/>
            </c:ext>
          </c:extLst>
        </c:ser>
        <c:ser>
          <c:idx val="2"/>
          <c:order val="2"/>
          <c:tx>
            <c:v>15 V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'Si-IGBT'!$F$3:$F$64</c:f>
              <c:numCache>
                <c:formatCode>General</c:formatCode>
                <c:ptCount val="62"/>
                <c:pt idx="0">
                  <c:v>-1.1264459999999999E-3</c:v>
                </c:pt>
                <c:pt idx="1">
                  <c:v>9.2187259999999993E-2</c:v>
                </c:pt>
                <c:pt idx="2">
                  <c:v>0.1870626</c:v>
                </c:pt>
                <c:pt idx="3">
                  <c:v>0.27981840000000002</c:v>
                </c:pt>
                <c:pt idx="4">
                  <c:v>0.37268580000000001</c:v>
                </c:pt>
                <c:pt idx="5">
                  <c:v>0.46878809999999999</c:v>
                </c:pt>
                <c:pt idx="6">
                  <c:v>0.56226900000000002</c:v>
                </c:pt>
                <c:pt idx="7">
                  <c:v>0.65496909999999997</c:v>
                </c:pt>
                <c:pt idx="8">
                  <c:v>0.74666509999999997</c:v>
                </c:pt>
                <c:pt idx="9">
                  <c:v>0.84142890000000004</c:v>
                </c:pt>
                <c:pt idx="10">
                  <c:v>0.93424050000000003</c:v>
                </c:pt>
                <c:pt idx="11">
                  <c:v>1.024375</c:v>
                </c:pt>
                <c:pt idx="12">
                  <c:v>1.1169629999999999</c:v>
                </c:pt>
                <c:pt idx="13">
                  <c:v>1.209217</c:v>
                </c:pt>
                <c:pt idx="14">
                  <c:v>1.300802</c:v>
                </c:pt>
                <c:pt idx="15">
                  <c:v>1.3910480000000001</c:v>
                </c:pt>
                <c:pt idx="16">
                  <c:v>1.4826319999999999</c:v>
                </c:pt>
                <c:pt idx="17">
                  <c:v>1.5697540000000001</c:v>
                </c:pt>
                <c:pt idx="18">
                  <c:v>1.6615059999999999</c:v>
                </c:pt>
                <c:pt idx="19">
                  <c:v>1.752812</c:v>
                </c:pt>
                <c:pt idx="20">
                  <c:v>1.8420540000000001</c:v>
                </c:pt>
                <c:pt idx="21">
                  <c:v>1.9324669999999999</c:v>
                </c:pt>
                <c:pt idx="22">
                  <c:v>2.021207</c:v>
                </c:pt>
                <c:pt idx="23">
                  <c:v>2.1376119999999998</c:v>
                </c:pt>
                <c:pt idx="24">
                  <c:v>2.1986309999999998</c:v>
                </c:pt>
                <c:pt idx="25">
                  <c:v>2.2897690000000002</c:v>
                </c:pt>
                <c:pt idx="26">
                  <c:v>2.3787880000000001</c:v>
                </c:pt>
                <c:pt idx="27">
                  <c:v>2.4665240000000002</c:v>
                </c:pt>
                <c:pt idx="28">
                  <c:v>2.555822</c:v>
                </c:pt>
                <c:pt idx="29">
                  <c:v>2.6450640000000001</c:v>
                </c:pt>
                <c:pt idx="30">
                  <c:v>2.7332459999999998</c:v>
                </c:pt>
                <c:pt idx="31">
                  <c:v>2.821205</c:v>
                </c:pt>
                <c:pt idx="32">
                  <c:v>2.9077700000000002</c:v>
                </c:pt>
                <c:pt idx="33">
                  <c:v>2.998964</c:v>
                </c:pt>
                <c:pt idx="34">
                  <c:v>3.0859749999999999</c:v>
                </c:pt>
                <c:pt idx="35">
                  <c:v>3.1726510000000001</c:v>
                </c:pt>
                <c:pt idx="36">
                  <c:v>3.2622270000000002</c:v>
                </c:pt>
                <c:pt idx="37">
                  <c:v>3.3515809999999999</c:v>
                </c:pt>
                <c:pt idx="38">
                  <c:v>3.440823</c:v>
                </c:pt>
                <c:pt idx="39">
                  <c:v>3.5269970000000002</c:v>
                </c:pt>
                <c:pt idx="40">
                  <c:v>3.614789</c:v>
                </c:pt>
                <c:pt idx="41">
                  <c:v>3.7052019999999999</c:v>
                </c:pt>
                <c:pt idx="42">
                  <c:v>3.7933279999999998</c:v>
                </c:pt>
                <c:pt idx="43">
                  <c:v>3.881176</c:v>
                </c:pt>
                <c:pt idx="44">
                  <c:v>3.9699719999999998</c:v>
                </c:pt>
                <c:pt idx="45">
                  <c:v>4.0565360000000004</c:v>
                </c:pt>
                <c:pt idx="46">
                  <c:v>4.1999930000000001</c:v>
                </c:pt>
                <c:pt idx="47">
                  <c:v>4.235633</c:v>
                </c:pt>
                <c:pt idx="48">
                  <c:v>4.323537</c:v>
                </c:pt>
                <c:pt idx="49">
                  <c:v>4.4119979999999996</c:v>
                </c:pt>
                <c:pt idx="50">
                  <c:v>4.5009050000000004</c:v>
                </c:pt>
                <c:pt idx="51">
                  <c:v>4.589143</c:v>
                </c:pt>
                <c:pt idx="52">
                  <c:v>4.6755959999999996</c:v>
                </c:pt>
                <c:pt idx="53">
                  <c:v>4.7547430000000004</c:v>
                </c:pt>
                <c:pt idx="54">
                  <c:v>4.7926700000000002</c:v>
                </c:pt>
                <c:pt idx="55">
                  <c:v>4.8197770000000002</c:v>
                </c:pt>
                <c:pt idx="56">
                  <c:v>4.8414190000000001</c:v>
                </c:pt>
                <c:pt idx="57">
                  <c:v>4.8613869999999997</c:v>
                </c:pt>
                <c:pt idx="58">
                  <c:v>4.8804059999999998</c:v>
                </c:pt>
                <c:pt idx="59">
                  <c:v>4.8953540000000002</c:v>
                </c:pt>
                <c:pt idx="60">
                  <c:v>4.9083500000000004</c:v>
                </c:pt>
                <c:pt idx="61">
                  <c:v>4.9207320000000001</c:v>
                </c:pt>
              </c:numCache>
            </c:numRef>
          </c:xVal>
          <c:yVal>
            <c:numRef>
              <c:f>'Si-IGBT'!$G$3:$G$64</c:f>
              <c:numCache>
                <c:formatCode>General</c:formatCode>
                <c:ptCount val="62"/>
                <c:pt idx="0">
                  <c:v>-4.9854920000000002E-3</c:v>
                </c:pt>
                <c:pt idx="1">
                  <c:v>-4.31825E-3</c:v>
                </c:pt>
                <c:pt idx="2">
                  <c:v>-6.3199750000000002E-3</c:v>
                </c:pt>
                <c:pt idx="3">
                  <c:v>-4.31825E-3</c:v>
                </c:pt>
                <c:pt idx="4">
                  <c:v>1.019685E-3</c:v>
                </c:pt>
                <c:pt idx="5">
                  <c:v>-1.9829029999999998E-3</c:v>
                </c:pt>
                <c:pt idx="6">
                  <c:v>1.453133E-2</c:v>
                </c:pt>
                <c:pt idx="7">
                  <c:v>6.2405929999999998E-2</c:v>
                </c:pt>
                <c:pt idx="8">
                  <c:v>0.1606573</c:v>
                </c:pt>
                <c:pt idx="9">
                  <c:v>0.31378929999999999</c:v>
                </c:pt>
                <c:pt idx="10">
                  <c:v>0.54482169999999996</c:v>
                </c:pt>
                <c:pt idx="11">
                  <c:v>0.8624288</c:v>
                </c:pt>
                <c:pt idx="12">
                  <c:v>1.2545999999999999</c:v>
                </c:pt>
                <c:pt idx="13">
                  <c:v>1.7268410000000001</c:v>
                </c:pt>
                <c:pt idx="14">
                  <c:v>2.2773150000000002</c:v>
                </c:pt>
                <c:pt idx="15">
                  <c:v>2.8986839999999998</c:v>
                </c:pt>
                <c:pt idx="16">
                  <c:v>3.5892789999999999</c:v>
                </c:pt>
                <c:pt idx="17">
                  <c:v>4.3397589999999999</c:v>
                </c:pt>
                <c:pt idx="18">
                  <c:v>5.1347779999999998</c:v>
                </c:pt>
                <c:pt idx="19">
                  <c:v>5.9811740000000002</c:v>
                </c:pt>
                <c:pt idx="20">
                  <c:v>6.8664370000000003</c:v>
                </c:pt>
                <c:pt idx="21">
                  <c:v>7.7972400000000004</c:v>
                </c:pt>
                <c:pt idx="22">
                  <c:v>8.7589020000000009</c:v>
                </c:pt>
                <c:pt idx="23">
                  <c:v>9.9180679999999999</c:v>
                </c:pt>
                <c:pt idx="24">
                  <c:v>10.767469999999999</c:v>
                </c:pt>
                <c:pt idx="25">
                  <c:v>11.80269</c:v>
                </c:pt>
                <c:pt idx="26">
                  <c:v>12.862439999999999</c:v>
                </c:pt>
                <c:pt idx="27">
                  <c:v>13.93153</c:v>
                </c:pt>
                <c:pt idx="28">
                  <c:v>15.01646</c:v>
                </c:pt>
                <c:pt idx="29">
                  <c:v>16.107240000000001</c:v>
                </c:pt>
                <c:pt idx="30">
                  <c:v>17.197009999999999</c:v>
                </c:pt>
                <c:pt idx="31">
                  <c:v>18.28511</c:v>
                </c:pt>
                <c:pt idx="32">
                  <c:v>19.384229999999999</c:v>
                </c:pt>
                <c:pt idx="33">
                  <c:v>20.478000000000002</c:v>
                </c:pt>
                <c:pt idx="34">
                  <c:v>21.578119999999998</c:v>
                </c:pt>
                <c:pt idx="35">
                  <c:v>22.680399999999999</c:v>
                </c:pt>
                <c:pt idx="36">
                  <c:v>23.774180000000001</c:v>
                </c:pt>
                <c:pt idx="37">
                  <c:v>24.87379</c:v>
                </c:pt>
                <c:pt idx="38">
                  <c:v>25.98058</c:v>
                </c:pt>
                <c:pt idx="39">
                  <c:v>27.081029999999998</c:v>
                </c:pt>
                <c:pt idx="40">
                  <c:v>28.184480000000001</c:v>
                </c:pt>
                <c:pt idx="41">
                  <c:v>29.285589999999999</c:v>
                </c:pt>
                <c:pt idx="42">
                  <c:v>30.392050000000001</c:v>
                </c:pt>
                <c:pt idx="43">
                  <c:v>31.510850000000001</c:v>
                </c:pt>
                <c:pt idx="44">
                  <c:v>32.633650000000003</c:v>
                </c:pt>
                <c:pt idx="45">
                  <c:v>33.755780000000001</c:v>
                </c:pt>
                <c:pt idx="46">
                  <c:v>35.464919999999999</c:v>
                </c:pt>
                <c:pt idx="47">
                  <c:v>35.999549999999999</c:v>
                </c:pt>
                <c:pt idx="48">
                  <c:v>37.119349999999997</c:v>
                </c:pt>
                <c:pt idx="49">
                  <c:v>38.235639999999997</c:v>
                </c:pt>
                <c:pt idx="50">
                  <c:v>39.360109999999999</c:v>
                </c:pt>
                <c:pt idx="51">
                  <c:v>40.474069999999998</c:v>
                </c:pt>
                <c:pt idx="52">
                  <c:v>41.523809999999997</c:v>
                </c:pt>
                <c:pt idx="53">
                  <c:v>42.560200000000002</c:v>
                </c:pt>
                <c:pt idx="54">
                  <c:v>43.039279999999998</c:v>
                </c:pt>
                <c:pt idx="55">
                  <c:v>43.391419999999997</c:v>
                </c:pt>
                <c:pt idx="56">
                  <c:v>43.671660000000003</c:v>
                </c:pt>
                <c:pt idx="57">
                  <c:v>43.914700000000003</c:v>
                </c:pt>
                <c:pt idx="58">
                  <c:v>44.130890000000001</c:v>
                </c:pt>
                <c:pt idx="59">
                  <c:v>44.317889999999998</c:v>
                </c:pt>
                <c:pt idx="60">
                  <c:v>44.499369999999999</c:v>
                </c:pt>
                <c:pt idx="61">
                  <c:v>44.664180000000002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3E6-4F67-8E0F-4CB1726DA3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2269967"/>
        <c:axId val="1402270447"/>
      </c:scatterChart>
      <c:valAx>
        <c:axId val="140226996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Vce</a:t>
                </a:r>
                <a:r>
                  <a:rPr lang="en-US" altLang="ja-JP" baseline="0"/>
                  <a:t> (V)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02270447"/>
        <c:crosses val="autoZero"/>
        <c:crossBetween val="midCat"/>
      </c:valAx>
      <c:valAx>
        <c:axId val="140227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Ic</a:t>
                </a:r>
                <a:r>
                  <a:rPr lang="en-US" altLang="ja-JP" baseline="0"/>
                  <a:t> (A)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022699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5605899747688381"/>
          <c:y val="0.23466353164187809"/>
          <c:w val="0.30282863093112594"/>
          <c:h val="9.54877515310586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4832735162972"/>
          <c:y val="5.2760483644061239E-2"/>
          <c:w val="0.81227640987817862"/>
          <c:h val="0.79738136866677378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'SiC-MOS'!$K$3:$K$102</c:f>
              <c:numCache>
                <c:formatCode>General</c:formatCode>
                <c:ptCount val="100"/>
                <c:pt idx="0">
                  <c:v>4.0769580000000003E-3</c:v>
                </c:pt>
                <c:pt idx="1">
                  <c:v>4.2750839999999998E-2</c:v>
                </c:pt>
                <c:pt idx="2">
                  <c:v>9.0646740000000003E-2</c:v>
                </c:pt>
                <c:pt idx="3">
                  <c:v>0.13649459999999999</c:v>
                </c:pt>
                <c:pt idx="4">
                  <c:v>0.18336530000000001</c:v>
                </c:pt>
                <c:pt idx="5">
                  <c:v>0.23007630000000001</c:v>
                </c:pt>
                <c:pt idx="6">
                  <c:v>0.27624609999999999</c:v>
                </c:pt>
                <c:pt idx="7">
                  <c:v>0.32306430000000003</c:v>
                </c:pt>
                <c:pt idx="8">
                  <c:v>0.36821130000000002</c:v>
                </c:pt>
                <c:pt idx="9">
                  <c:v>0.4232264</c:v>
                </c:pt>
                <c:pt idx="10">
                  <c:v>0.46233180000000001</c:v>
                </c:pt>
                <c:pt idx="11">
                  <c:v>0.50963400000000003</c:v>
                </c:pt>
                <c:pt idx="12">
                  <c:v>0.55537219999999998</c:v>
                </c:pt>
                <c:pt idx="13">
                  <c:v>0.60197590000000001</c:v>
                </c:pt>
                <c:pt idx="14">
                  <c:v>0.64992669999999997</c:v>
                </c:pt>
                <c:pt idx="15">
                  <c:v>0.69593430000000001</c:v>
                </c:pt>
                <c:pt idx="16">
                  <c:v>0.74275259999999999</c:v>
                </c:pt>
                <c:pt idx="17">
                  <c:v>0.78870770000000001</c:v>
                </c:pt>
                <c:pt idx="18">
                  <c:v>0.84782360000000001</c:v>
                </c:pt>
                <c:pt idx="19">
                  <c:v>0.8811021</c:v>
                </c:pt>
                <c:pt idx="20">
                  <c:v>0.92781069999999999</c:v>
                </c:pt>
                <c:pt idx="21">
                  <c:v>0.97457649999999996</c:v>
                </c:pt>
                <c:pt idx="22">
                  <c:v>1.0213399999999999</c:v>
                </c:pt>
                <c:pt idx="23">
                  <c:v>1.067941</c:v>
                </c:pt>
                <c:pt idx="24">
                  <c:v>1.113572</c:v>
                </c:pt>
                <c:pt idx="25">
                  <c:v>1.159635</c:v>
                </c:pt>
                <c:pt idx="26">
                  <c:v>1.205697</c:v>
                </c:pt>
                <c:pt idx="27">
                  <c:v>1.2720419999999999</c:v>
                </c:pt>
                <c:pt idx="28">
                  <c:v>1.300735</c:v>
                </c:pt>
                <c:pt idx="29">
                  <c:v>1.3464739999999999</c:v>
                </c:pt>
                <c:pt idx="30">
                  <c:v>1.393561</c:v>
                </c:pt>
                <c:pt idx="31">
                  <c:v>1.439786</c:v>
                </c:pt>
                <c:pt idx="32">
                  <c:v>1.486442</c:v>
                </c:pt>
                <c:pt idx="33">
                  <c:v>1.531048</c:v>
                </c:pt>
                <c:pt idx="34">
                  <c:v>1.5782449999999999</c:v>
                </c:pt>
                <c:pt idx="35">
                  <c:v>1.624522</c:v>
                </c:pt>
                <c:pt idx="36">
                  <c:v>1.695397</c:v>
                </c:pt>
                <c:pt idx="37">
                  <c:v>1.717997</c:v>
                </c:pt>
                <c:pt idx="38">
                  <c:v>1.764653</c:v>
                </c:pt>
                <c:pt idx="39">
                  <c:v>1.8108770000000001</c:v>
                </c:pt>
                <c:pt idx="40">
                  <c:v>1.8579650000000001</c:v>
                </c:pt>
                <c:pt idx="41">
                  <c:v>1.904404</c:v>
                </c:pt>
                <c:pt idx="42">
                  <c:v>1.9494959999999999</c:v>
                </c:pt>
                <c:pt idx="43">
                  <c:v>1.9960979999999999</c:v>
                </c:pt>
                <c:pt idx="44">
                  <c:v>2.0428609999999998</c:v>
                </c:pt>
                <c:pt idx="45">
                  <c:v>2.1210719999999998</c:v>
                </c:pt>
                <c:pt idx="46">
                  <c:v>2.1355270000000002</c:v>
                </c:pt>
                <c:pt idx="47">
                  <c:v>2.1826150000000002</c:v>
                </c:pt>
                <c:pt idx="48">
                  <c:v>2.2298619999999998</c:v>
                </c:pt>
                <c:pt idx="49">
                  <c:v>2.275655</c:v>
                </c:pt>
                <c:pt idx="50">
                  <c:v>2.3225280000000001</c:v>
                </c:pt>
                <c:pt idx="51">
                  <c:v>2.3677830000000002</c:v>
                </c:pt>
                <c:pt idx="52">
                  <c:v>2.4137900000000001</c:v>
                </c:pt>
                <c:pt idx="53">
                  <c:v>2.4612020000000001</c:v>
                </c:pt>
                <c:pt idx="54">
                  <c:v>2.5442119999999999</c:v>
                </c:pt>
                <c:pt idx="55">
                  <c:v>2.5538660000000002</c:v>
                </c:pt>
                <c:pt idx="56">
                  <c:v>2.6000909999999999</c:v>
                </c:pt>
                <c:pt idx="57">
                  <c:v>2.6474479999999998</c:v>
                </c:pt>
                <c:pt idx="58">
                  <c:v>2.6942110000000001</c:v>
                </c:pt>
                <c:pt idx="59">
                  <c:v>2.7404899999999999</c:v>
                </c:pt>
                <c:pt idx="60">
                  <c:v>2.7861210000000001</c:v>
                </c:pt>
                <c:pt idx="61">
                  <c:v>2.8321290000000001</c:v>
                </c:pt>
                <c:pt idx="62">
                  <c:v>2.8778700000000002</c:v>
                </c:pt>
                <c:pt idx="63">
                  <c:v>2.9665970000000002</c:v>
                </c:pt>
                <c:pt idx="64">
                  <c:v>2.9710719999999999</c:v>
                </c:pt>
                <c:pt idx="65">
                  <c:v>3.017566</c:v>
                </c:pt>
                <c:pt idx="66">
                  <c:v>3.0635759999999999</c:v>
                </c:pt>
                <c:pt idx="67">
                  <c:v>3.109801</c:v>
                </c:pt>
                <c:pt idx="68">
                  <c:v>3.1554319999999998</c:v>
                </c:pt>
                <c:pt idx="69">
                  <c:v>3.2038660000000001</c:v>
                </c:pt>
                <c:pt idx="70">
                  <c:v>3.24939</c:v>
                </c:pt>
                <c:pt idx="71">
                  <c:v>3.295884</c:v>
                </c:pt>
                <c:pt idx="72">
                  <c:v>3.3903289999999999</c:v>
                </c:pt>
                <c:pt idx="73">
                  <c:v>3.3892509999999998</c:v>
                </c:pt>
                <c:pt idx="74">
                  <c:v>3.435476</c:v>
                </c:pt>
                <c:pt idx="75">
                  <c:v>3.4814289999999999</c:v>
                </c:pt>
                <c:pt idx="76">
                  <c:v>3.5277080000000001</c:v>
                </c:pt>
                <c:pt idx="77">
                  <c:v>3.574417</c:v>
                </c:pt>
                <c:pt idx="78">
                  <c:v>3.6211280000000001</c:v>
                </c:pt>
                <c:pt idx="79">
                  <c:v>3.6657329999999999</c:v>
                </c:pt>
                <c:pt idx="80">
                  <c:v>3.7140080000000002</c:v>
                </c:pt>
                <c:pt idx="81">
                  <c:v>3.8149790000000001</c:v>
                </c:pt>
                <c:pt idx="82">
                  <c:v>3.808074</c:v>
                </c:pt>
                <c:pt idx="83">
                  <c:v>3.8549470000000001</c:v>
                </c:pt>
                <c:pt idx="84">
                  <c:v>3.9007930000000002</c:v>
                </c:pt>
                <c:pt idx="85">
                  <c:v>3.9478279999999999</c:v>
                </c:pt>
                <c:pt idx="86">
                  <c:v>3.9936729999999998</c:v>
                </c:pt>
                <c:pt idx="87">
                  <c:v>4.0403840000000004</c:v>
                </c:pt>
                <c:pt idx="88">
                  <c:v>4.0863389999999997</c:v>
                </c:pt>
                <c:pt idx="89">
                  <c:v>4.1314320000000002</c:v>
                </c:pt>
                <c:pt idx="90">
                  <c:v>4.2387129999999997</c:v>
                </c:pt>
                <c:pt idx="91">
                  <c:v>4.2263599999999997</c:v>
                </c:pt>
                <c:pt idx="92">
                  <c:v>4.272208</c:v>
                </c:pt>
                <c:pt idx="93">
                  <c:v>4.3176220000000001</c:v>
                </c:pt>
                <c:pt idx="94">
                  <c:v>4.3642260000000004</c:v>
                </c:pt>
                <c:pt idx="95">
                  <c:v>4.411473</c:v>
                </c:pt>
                <c:pt idx="96">
                  <c:v>4.4572659999999997</c:v>
                </c:pt>
                <c:pt idx="97">
                  <c:v>4.5030070000000002</c:v>
                </c:pt>
                <c:pt idx="98">
                  <c:v>4.5493389999999998</c:v>
                </c:pt>
                <c:pt idx="99">
                  <c:v>4.661098</c:v>
                </c:pt>
              </c:numCache>
            </c:numRef>
          </c:xVal>
          <c:yVal>
            <c:numRef>
              <c:f>'SiC-MOS'!$L$3:$L$102</c:f>
              <c:numCache>
                <c:formatCode>0.00E+00</c:formatCode>
                <c:ptCount val="100"/>
                <c:pt idx="0">
                  <c:v>2.1815490000000001E-4</c:v>
                </c:pt>
                <c:pt idx="1">
                  <c:v>-2.363396E-6</c:v>
                </c:pt>
                <c:pt idx="2">
                  <c:v>-8.2701370000000002E-6</c:v>
                </c:pt>
                <c:pt idx="3">
                  <c:v>1.968214E-6</c:v>
                </c:pt>
                <c:pt idx="4">
                  <c:v>-3.9448270000000002E-7</c:v>
                </c:pt>
                <c:pt idx="5">
                  <c:v>-6.695006E-6</c:v>
                </c:pt>
                <c:pt idx="6">
                  <c:v>-7.8763540000000005E-6</c:v>
                </c:pt>
                <c:pt idx="7">
                  <c:v>3.9308280000000002E-7</c:v>
                </c:pt>
                <c:pt idx="8">
                  <c:v>-1.9696140000000001E-6</c:v>
                </c:pt>
                <c:pt idx="9">
                  <c:v>-1.063283E-5</c:v>
                </c:pt>
                <c:pt idx="10">
                  <c:v>7.087389E-6</c:v>
                </c:pt>
                <c:pt idx="11">
                  <c:v>-9.4514849999999999E-6</c:v>
                </c:pt>
                <c:pt idx="12">
                  <c:v>-6.3012230000000003E-6</c:v>
                </c:pt>
                <c:pt idx="13">
                  <c:v>3.9371269999999997E-6</c:v>
                </c:pt>
                <c:pt idx="14">
                  <c:v>8.6625200000000002E-6</c:v>
                </c:pt>
                <c:pt idx="15">
                  <c:v>-3.5447440000000001E-6</c:v>
                </c:pt>
                <c:pt idx="16">
                  <c:v>-2.363396E-6</c:v>
                </c:pt>
                <c:pt idx="17">
                  <c:v>-8.6639190000000005E-6</c:v>
                </c:pt>
                <c:pt idx="18">
                  <c:v>-2.7571790000000001E-6</c:v>
                </c:pt>
                <c:pt idx="19">
                  <c:v>2.3619959999999999E-6</c:v>
                </c:pt>
                <c:pt idx="20">
                  <c:v>7.4811710000000003E-6</c:v>
                </c:pt>
                <c:pt idx="21">
                  <c:v>8.2687370000000005E-6</c:v>
                </c:pt>
                <c:pt idx="22">
                  <c:v>-2.7571790000000001E-6</c:v>
                </c:pt>
                <c:pt idx="23">
                  <c:v>-3.5447440000000001E-6</c:v>
                </c:pt>
                <c:pt idx="24">
                  <c:v>-8.2701370000000002E-6</c:v>
                </c:pt>
                <c:pt idx="25">
                  <c:v>3.1495620000000001E-6</c:v>
                </c:pt>
                <c:pt idx="26">
                  <c:v>6.6936060000000003E-6</c:v>
                </c:pt>
                <c:pt idx="27">
                  <c:v>3.9308280000000002E-7</c:v>
                </c:pt>
                <c:pt idx="28">
                  <c:v>-3.9385270000000002E-6</c:v>
                </c:pt>
                <c:pt idx="29">
                  <c:v>-6.695006E-6</c:v>
                </c:pt>
                <c:pt idx="30">
                  <c:v>-7.0887889999999997E-6</c:v>
                </c:pt>
                <c:pt idx="31">
                  <c:v>5.9060410000000004E-6</c:v>
                </c:pt>
                <c:pt idx="32">
                  <c:v>6.2998229999999998E-6</c:v>
                </c:pt>
                <c:pt idx="33">
                  <c:v>-3.1509620000000002E-6</c:v>
                </c:pt>
                <c:pt idx="34">
                  <c:v>-6.695006E-6</c:v>
                </c:pt>
                <c:pt idx="35">
                  <c:v>3.9371269999999997E-6</c:v>
                </c:pt>
                <c:pt idx="36">
                  <c:v>-4.7260920000000002E-6</c:v>
                </c:pt>
                <c:pt idx="37">
                  <c:v>-7.0887889999999997E-6</c:v>
                </c:pt>
                <c:pt idx="38">
                  <c:v>-5.5136580000000004E-6</c:v>
                </c:pt>
                <c:pt idx="39">
                  <c:v>-7.0887889999999997E-6</c:v>
                </c:pt>
                <c:pt idx="40">
                  <c:v>5.5122579999999998E-6</c:v>
                </c:pt>
                <c:pt idx="41">
                  <c:v>-1.575831E-6</c:v>
                </c:pt>
                <c:pt idx="42">
                  <c:v>3.9308280000000002E-7</c:v>
                </c:pt>
                <c:pt idx="43">
                  <c:v>3.9371269999999997E-6</c:v>
                </c:pt>
                <c:pt idx="44">
                  <c:v>5.1184750000000002E-6</c:v>
                </c:pt>
                <c:pt idx="45">
                  <c:v>1.850709E-5</c:v>
                </c:pt>
                <c:pt idx="46">
                  <c:v>2.008222E-5</c:v>
                </c:pt>
                <c:pt idx="47">
                  <c:v>3.8983789999999997E-5</c:v>
                </c:pt>
                <c:pt idx="48">
                  <c:v>6.5367230000000002E-5</c:v>
                </c:pt>
                <c:pt idx="49">
                  <c:v>7.7968270000000002E-5</c:v>
                </c:pt>
                <c:pt idx="50">
                  <c:v>1.1104599999999999E-4</c:v>
                </c:pt>
                <c:pt idx="51">
                  <c:v>1.56331E-4</c:v>
                </c:pt>
                <c:pt idx="52">
                  <c:v>2.114606E-4</c:v>
                </c:pt>
                <c:pt idx="53">
                  <c:v>2.9061089999999999E-4</c:v>
                </c:pt>
                <c:pt idx="54">
                  <c:v>3.8708770000000001E-4</c:v>
                </c:pt>
                <c:pt idx="55">
                  <c:v>5.2609300000000005E-4</c:v>
                </c:pt>
                <c:pt idx="56">
                  <c:v>6.9305690000000004E-4</c:v>
                </c:pt>
                <c:pt idx="57">
                  <c:v>8.9073579999999998E-4</c:v>
                </c:pt>
                <c:pt idx="58" formatCode="General">
                  <c:v>1.1478759999999999E-3</c:v>
                </c:pt>
                <c:pt idx="59" formatCode="General">
                  <c:v>1.4786529999999999E-3</c:v>
                </c:pt>
                <c:pt idx="60" formatCode="General">
                  <c:v>1.8673170000000001E-3</c:v>
                </c:pt>
                <c:pt idx="61" formatCode="General">
                  <c:v>2.2355040000000001E-3</c:v>
                </c:pt>
                <c:pt idx="62" formatCode="General">
                  <c:v>2.627711E-3</c:v>
                </c:pt>
                <c:pt idx="63" formatCode="General">
                  <c:v>3.0077120000000001E-3</c:v>
                </c:pt>
                <c:pt idx="64" formatCode="General">
                  <c:v>3.4050389999999999E-3</c:v>
                </c:pt>
                <c:pt idx="65" formatCode="General">
                  <c:v>3.8263860000000002E-3</c:v>
                </c:pt>
                <c:pt idx="66" formatCode="General">
                  <c:v>4.2166240000000004E-3</c:v>
                </c:pt>
                <c:pt idx="67" formatCode="General">
                  <c:v>4.6135569999999999E-3</c:v>
                </c:pt>
                <c:pt idx="68" formatCode="General">
                  <c:v>5.0026150000000002E-3</c:v>
                </c:pt>
                <c:pt idx="69" formatCode="General">
                  <c:v>5.4007289999999999E-3</c:v>
                </c:pt>
                <c:pt idx="70" formatCode="General">
                  <c:v>5.762222E-3</c:v>
                </c:pt>
                <c:pt idx="71" formatCode="General">
                  <c:v>6.0886680000000002E-3</c:v>
                </c:pt>
                <c:pt idx="72" formatCode="General">
                  <c:v>6.4265329999999999E-3</c:v>
                </c:pt>
                <c:pt idx="73" formatCode="General">
                  <c:v>6.7171449999999999E-3</c:v>
                </c:pt>
                <c:pt idx="74" formatCode="General">
                  <c:v>7.0010619999999997E-3</c:v>
                </c:pt>
                <c:pt idx="75" formatCode="General">
                  <c:v>7.2412700000000002E-3</c:v>
                </c:pt>
                <c:pt idx="76" formatCode="General">
                  <c:v>7.4456430000000001E-3</c:v>
                </c:pt>
                <c:pt idx="77" formatCode="General">
                  <c:v>7.641353E-3</c:v>
                </c:pt>
                <c:pt idx="78" formatCode="General">
                  <c:v>7.7701200000000002E-3</c:v>
                </c:pt>
                <c:pt idx="79" formatCode="General">
                  <c:v>7.8638400000000004E-3</c:v>
                </c:pt>
                <c:pt idx="80" formatCode="General">
                  <c:v>7.9351149999999995E-3</c:v>
                </c:pt>
                <c:pt idx="81" formatCode="General">
                  <c:v>7.9626790000000003E-3</c:v>
                </c:pt>
                <c:pt idx="82" formatCode="General">
                  <c:v>7.9870940000000001E-3</c:v>
                </c:pt>
                <c:pt idx="83" formatCode="General">
                  <c:v>8.009146E-3</c:v>
                </c:pt>
                <c:pt idx="84" formatCode="General">
                  <c:v>8.0284410000000007E-3</c:v>
                </c:pt>
                <c:pt idx="85" formatCode="General">
                  <c:v>8.0359230000000004E-3</c:v>
                </c:pt>
                <c:pt idx="86" formatCode="General">
                  <c:v>8.0646699999999995E-3</c:v>
                </c:pt>
                <c:pt idx="87" formatCode="General">
                  <c:v>8.0737269999999993E-3</c:v>
                </c:pt>
                <c:pt idx="88" formatCode="General">
                  <c:v>8.1016850000000008E-3</c:v>
                </c:pt>
                <c:pt idx="89" formatCode="General">
                  <c:v>8.1363379999999999E-3</c:v>
                </c:pt>
                <c:pt idx="90" formatCode="General">
                  <c:v>8.1784730000000003E-3</c:v>
                </c:pt>
                <c:pt idx="91" formatCode="General">
                  <c:v>8.2091879999999992E-3</c:v>
                </c:pt>
                <c:pt idx="92" formatCode="General">
                  <c:v>8.2485660000000006E-3</c:v>
                </c:pt>
                <c:pt idx="93" formatCode="General">
                  <c:v>8.288732E-3</c:v>
                </c:pt>
                <c:pt idx="94" formatCode="General">
                  <c:v>8.3328359999999997E-3</c:v>
                </c:pt>
                <c:pt idx="95" formatCode="General">
                  <c:v>8.3627630000000005E-3</c:v>
                </c:pt>
                <c:pt idx="96" formatCode="General">
                  <c:v>8.3978089999999991E-3</c:v>
                </c:pt>
                <c:pt idx="97" formatCode="General">
                  <c:v>8.4285239999999997E-3</c:v>
                </c:pt>
                <c:pt idx="98" formatCode="General">
                  <c:v>8.4679019999999994E-3</c:v>
                </c:pt>
                <c:pt idx="99" formatCode="General">
                  <c:v>8.4966490000000002E-3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FC-4D03-B9FF-5EB866759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2279567"/>
        <c:axId val="1402263247"/>
      </c:scatterChart>
      <c:valAx>
        <c:axId val="1402279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Vgs</a:t>
                </a:r>
                <a:r>
                  <a:rPr lang="en-US" altLang="ja-JP" baseline="0"/>
                  <a:t> (V)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02263247"/>
        <c:crossesAt val="-1.0000000000000002E-3"/>
        <c:crossBetween val="midCat"/>
      </c:valAx>
      <c:valAx>
        <c:axId val="140226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Id</a:t>
                </a:r>
                <a:r>
                  <a:rPr lang="en-US" altLang="ja-JP" baseline="0"/>
                  <a:t> (A)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02279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434875696336304"/>
          <c:y val="5.2760483644061239E-2"/>
          <c:w val="0.780019668432123"/>
          <c:h val="0.77743082503875849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'SiC-MOS'!$N$3:$N$144</c:f>
              <c:numCache>
                <c:formatCode>General</c:formatCode>
                <c:ptCount val="142"/>
                <c:pt idx="0">
                  <c:v>9.2132729999999996E-2</c:v>
                </c:pt>
                <c:pt idx="1">
                  <c:v>9.89893</c:v>
                </c:pt>
                <c:pt idx="2">
                  <c:v>19.89378</c:v>
                </c:pt>
                <c:pt idx="3">
                  <c:v>29.948360000000001</c:v>
                </c:pt>
                <c:pt idx="4">
                  <c:v>40.005369999999999</c:v>
                </c:pt>
                <c:pt idx="5">
                  <c:v>50.002429999999997</c:v>
                </c:pt>
                <c:pt idx="6">
                  <c:v>60.051459999999999</c:v>
                </c:pt>
                <c:pt idx="7">
                  <c:v>70.098219999999998</c:v>
                </c:pt>
                <c:pt idx="8">
                  <c:v>80.104939999999999</c:v>
                </c:pt>
                <c:pt idx="9">
                  <c:v>90.16028</c:v>
                </c:pt>
                <c:pt idx="10">
                  <c:v>100.20829999999999</c:v>
                </c:pt>
                <c:pt idx="11">
                  <c:v>110.20659999999999</c:v>
                </c:pt>
                <c:pt idx="12">
                  <c:v>120.2595</c:v>
                </c:pt>
                <c:pt idx="13">
                  <c:v>130.30289999999999</c:v>
                </c:pt>
                <c:pt idx="14">
                  <c:v>140.31610000000001</c:v>
                </c:pt>
                <c:pt idx="15">
                  <c:v>150.35929999999999</c:v>
                </c:pt>
                <c:pt idx="16">
                  <c:v>160.40780000000001</c:v>
                </c:pt>
                <c:pt idx="17">
                  <c:v>170.41460000000001</c:v>
                </c:pt>
                <c:pt idx="18">
                  <c:v>180.4571</c:v>
                </c:pt>
                <c:pt idx="19">
                  <c:v>190.5214</c:v>
                </c:pt>
                <c:pt idx="20">
                  <c:v>200.51509999999999</c:v>
                </c:pt>
                <c:pt idx="21">
                  <c:v>210.57069999999999</c:v>
                </c:pt>
                <c:pt idx="22">
                  <c:v>220.61750000000001</c:v>
                </c:pt>
                <c:pt idx="23">
                  <c:v>230.61869999999999</c:v>
                </c:pt>
                <c:pt idx="24">
                  <c:v>240.67349999999999</c:v>
                </c:pt>
                <c:pt idx="25">
                  <c:v>250.7313</c:v>
                </c:pt>
                <c:pt idx="26">
                  <c:v>260.72710000000001</c:v>
                </c:pt>
                <c:pt idx="27">
                  <c:v>270.76949999999999</c:v>
                </c:pt>
                <c:pt idx="28">
                  <c:v>280.82060000000001</c:v>
                </c:pt>
                <c:pt idx="29">
                  <c:v>290.82780000000002</c:v>
                </c:pt>
                <c:pt idx="30">
                  <c:v>300.88440000000003</c:v>
                </c:pt>
                <c:pt idx="31">
                  <c:v>310.93029999999999</c:v>
                </c:pt>
                <c:pt idx="32">
                  <c:v>320.93110000000001</c:v>
                </c:pt>
                <c:pt idx="33">
                  <c:v>330.97519999999997</c:v>
                </c:pt>
                <c:pt idx="34">
                  <c:v>341.03059999999999</c:v>
                </c:pt>
                <c:pt idx="35">
                  <c:v>351.03710000000001</c:v>
                </c:pt>
                <c:pt idx="36">
                  <c:v>361.0883</c:v>
                </c:pt>
                <c:pt idx="37">
                  <c:v>371.13690000000003</c:v>
                </c:pt>
                <c:pt idx="38">
                  <c:v>381.13139999999999</c:v>
                </c:pt>
                <c:pt idx="39">
                  <c:v>391.18579999999997</c:v>
                </c:pt>
                <c:pt idx="40">
                  <c:v>401.23860000000002</c:v>
                </c:pt>
                <c:pt idx="41">
                  <c:v>411.24529999999999</c:v>
                </c:pt>
                <c:pt idx="42">
                  <c:v>421.28829999999999</c:v>
                </c:pt>
                <c:pt idx="43">
                  <c:v>431.34179999999998</c:v>
                </c:pt>
                <c:pt idx="44">
                  <c:v>441.33789999999999</c:v>
                </c:pt>
                <c:pt idx="45">
                  <c:v>451.3972</c:v>
                </c:pt>
                <c:pt idx="46">
                  <c:v>461.44119999999998</c:v>
                </c:pt>
                <c:pt idx="47">
                  <c:v>471.44940000000003</c:v>
                </c:pt>
                <c:pt idx="48">
                  <c:v>481.49419999999998</c:v>
                </c:pt>
                <c:pt idx="49">
                  <c:v>491.53919999999999</c:v>
                </c:pt>
                <c:pt idx="50">
                  <c:v>501.55399999999997</c:v>
                </c:pt>
                <c:pt idx="51">
                  <c:v>511.59719999999999</c:v>
                </c:pt>
                <c:pt idx="52">
                  <c:v>521.60379999999998</c:v>
                </c:pt>
                <c:pt idx="53">
                  <c:v>531.65179999999998</c:v>
                </c:pt>
                <c:pt idx="54">
                  <c:v>541.70069999999998</c:v>
                </c:pt>
                <c:pt idx="55">
                  <c:v>551.70730000000003</c:v>
                </c:pt>
                <c:pt idx="56">
                  <c:v>561.76319999999998</c:v>
                </c:pt>
                <c:pt idx="57">
                  <c:v>571.80709999999999</c:v>
                </c:pt>
                <c:pt idx="58">
                  <c:v>581.81129999999996</c:v>
                </c:pt>
                <c:pt idx="59">
                  <c:v>591.85630000000003</c:v>
                </c:pt>
                <c:pt idx="60">
                  <c:v>601.91330000000005</c:v>
                </c:pt>
                <c:pt idx="61">
                  <c:v>611.91700000000003</c:v>
                </c:pt>
                <c:pt idx="62">
                  <c:v>621.96010000000001</c:v>
                </c:pt>
                <c:pt idx="63">
                  <c:v>632.01480000000004</c:v>
                </c:pt>
                <c:pt idx="64">
                  <c:v>642.00760000000002</c:v>
                </c:pt>
                <c:pt idx="65">
                  <c:v>652.06650000000002</c:v>
                </c:pt>
                <c:pt idx="66">
                  <c:v>662.11789999999996</c:v>
                </c:pt>
                <c:pt idx="67">
                  <c:v>672.12180000000001</c:v>
                </c:pt>
                <c:pt idx="68">
                  <c:v>682.16610000000003</c:v>
                </c:pt>
                <c:pt idx="69">
                  <c:v>692.22270000000003</c:v>
                </c:pt>
                <c:pt idx="70">
                  <c:v>702.2183</c:v>
                </c:pt>
                <c:pt idx="71">
                  <c:v>712.27940000000001</c:v>
                </c:pt>
                <c:pt idx="72">
                  <c:v>722.32360000000006</c:v>
                </c:pt>
                <c:pt idx="73">
                  <c:v>732.32069999999999</c:v>
                </c:pt>
                <c:pt idx="74">
                  <c:v>742.37599999999998</c:v>
                </c:pt>
                <c:pt idx="75">
                  <c:v>752.42079999999999</c:v>
                </c:pt>
                <c:pt idx="76">
                  <c:v>762.43190000000004</c:v>
                </c:pt>
                <c:pt idx="77">
                  <c:v>772.47820000000002</c:v>
                </c:pt>
                <c:pt idx="78">
                  <c:v>782.53160000000003</c:v>
                </c:pt>
                <c:pt idx="79">
                  <c:v>792.529</c:v>
                </c:pt>
                <c:pt idx="80">
                  <c:v>802.58040000000005</c:v>
                </c:pt>
                <c:pt idx="81">
                  <c:v>812.63900000000001</c:v>
                </c:pt>
                <c:pt idx="82">
                  <c:v>822.64790000000005</c:v>
                </c:pt>
                <c:pt idx="83">
                  <c:v>832.68679999999995</c:v>
                </c:pt>
                <c:pt idx="84">
                  <c:v>842.73360000000002</c:v>
                </c:pt>
                <c:pt idx="85">
                  <c:v>852.73350000000005</c:v>
                </c:pt>
                <c:pt idx="86">
                  <c:v>862.78909999999996</c:v>
                </c:pt>
                <c:pt idx="87">
                  <c:v>872.84460000000001</c:v>
                </c:pt>
                <c:pt idx="88">
                  <c:v>882.83950000000004</c:v>
                </c:pt>
                <c:pt idx="89">
                  <c:v>892.88909999999998</c:v>
                </c:pt>
                <c:pt idx="90">
                  <c:v>902.93449999999996</c:v>
                </c:pt>
                <c:pt idx="91">
                  <c:v>912.94039999999995</c:v>
                </c:pt>
                <c:pt idx="92">
                  <c:v>922.99540000000002</c:v>
                </c:pt>
                <c:pt idx="93">
                  <c:v>933.0471</c:v>
                </c:pt>
                <c:pt idx="94">
                  <c:v>943.04390000000001</c:v>
                </c:pt>
                <c:pt idx="95">
                  <c:v>953.08889999999997</c:v>
                </c:pt>
                <c:pt idx="96">
                  <c:v>963.14359999999999</c:v>
                </c:pt>
                <c:pt idx="97">
                  <c:v>973.14940000000001</c:v>
                </c:pt>
                <c:pt idx="98">
                  <c:v>983.20050000000003</c:v>
                </c:pt>
                <c:pt idx="99">
                  <c:v>993.19970000000001</c:v>
                </c:pt>
                <c:pt idx="100">
                  <c:v>1003.251</c:v>
                </c:pt>
                <c:pt idx="101">
                  <c:v>1013.297</c:v>
                </c:pt>
                <c:pt idx="102">
                  <c:v>1023.309</c:v>
                </c:pt>
                <c:pt idx="103">
                  <c:v>1033.3510000000001</c:v>
                </c:pt>
                <c:pt idx="104">
                  <c:v>1043.405</c:v>
                </c:pt>
                <c:pt idx="105">
                  <c:v>1053.405</c:v>
                </c:pt>
                <c:pt idx="106">
                  <c:v>1063.4459999999999</c:v>
                </c:pt>
                <c:pt idx="107">
                  <c:v>1073.508</c:v>
                </c:pt>
                <c:pt idx="108">
                  <c:v>1083.5039999999999</c:v>
                </c:pt>
                <c:pt idx="109">
                  <c:v>1093.559</c:v>
                </c:pt>
                <c:pt idx="110">
                  <c:v>1103.607</c:v>
                </c:pt>
                <c:pt idx="111">
                  <c:v>1113.6120000000001</c:v>
                </c:pt>
                <c:pt idx="112">
                  <c:v>1123.663</c:v>
                </c:pt>
                <c:pt idx="113">
                  <c:v>1133.7190000000001</c:v>
                </c:pt>
                <c:pt idx="114">
                  <c:v>1143.7149999999999</c:v>
                </c:pt>
                <c:pt idx="115">
                  <c:v>1153.7670000000001</c:v>
                </c:pt>
                <c:pt idx="116">
                  <c:v>1163.8109999999999</c:v>
                </c:pt>
                <c:pt idx="117">
                  <c:v>1173.82</c:v>
                </c:pt>
                <c:pt idx="118">
                  <c:v>1183.876</c:v>
                </c:pt>
                <c:pt idx="119">
                  <c:v>1193.9190000000001</c:v>
                </c:pt>
                <c:pt idx="120">
                  <c:v>1203.923</c:v>
                </c:pt>
                <c:pt idx="121">
                  <c:v>1213.9680000000001</c:v>
                </c:pt>
                <c:pt idx="122">
                  <c:v>1224.0229999999999</c:v>
                </c:pt>
                <c:pt idx="123">
                  <c:v>1234.028</c:v>
                </c:pt>
                <c:pt idx="124">
                  <c:v>1244.076</c:v>
                </c:pt>
                <c:pt idx="125">
                  <c:v>1254.123</c:v>
                </c:pt>
                <c:pt idx="126">
                  <c:v>1264.127</c:v>
                </c:pt>
                <c:pt idx="127">
                  <c:v>1274.173</c:v>
                </c:pt>
                <c:pt idx="128">
                  <c:v>1284.231</c:v>
                </c:pt>
                <c:pt idx="129">
                  <c:v>1294.2270000000001</c:v>
                </c:pt>
                <c:pt idx="130">
                  <c:v>1304.2760000000001</c:v>
                </c:pt>
                <c:pt idx="131">
                  <c:v>1314.3330000000001</c:v>
                </c:pt>
                <c:pt idx="132">
                  <c:v>1324.327</c:v>
                </c:pt>
                <c:pt idx="133">
                  <c:v>1334.3910000000001</c:v>
                </c:pt>
                <c:pt idx="134">
                  <c:v>1344.432</c:v>
                </c:pt>
                <c:pt idx="135">
                  <c:v>1354.442</c:v>
                </c:pt>
                <c:pt idx="136">
                  <c:v>1364.4849999999999</c:v>
                </c:pt>
                <c:pt idx="137">
                  <c:v>1374.5340000000001</c:v>
                </c:pt>
                <c:pt idx="138">
                  <c:v>1384.5419999999999</c:v>
                </c:pt>
                <c:pt idx="139">
                  <c:v>1394.6</c:v>
                </c:pt>
                <c:pt idx="140">
                  <c:v>1404.6389999999999</c:v>
                </c:pt>
                <c:pt idx="141">
                  <c:v>1412.4449999999999</c:v>
                </c:pt>
              </c:numCache>
            </c:numRef>
          </c:xVal>
          <c:yVal>
            <c:numRef>
              <c:f>'SiC-MOS'!$O$3:$O$144</c:f>
              <c:numCache>
                <c:formatCode>0.00E+00</c:formatCode>
                <c:ptCount val="142"/>
                <c:pt idx="0">
                  <c:v>-8.631871E-8</c:v>
                </c:pt>
                <c:pt idx="1">
                  <c:v>6.1534809999999995E-7</c:v>
                </c:pt>
                <c:pt idx="2">
                  <c:v>2.0971010000000001E-7</c:v>
                </c:pt>
                <c:pt idx="3">
                  <c:v>3.0872349999999999E-8</c:v>
                </c:pt>
                <c:pt idx="4">
                  <c:v>9.3461089999999998E-9</c:v>
                </c:pt>
                <c:pt idx="5">
                  <c:v>-2.0237799999999998E-9</c:v>
                </c:pt>
                <c:pt idx="6">
                  <c:v>-8.9315929999999995E-9</c:v>
                </c:pt>
                <c:pt idx="7">
                  <c:v>-1.44205E-8</c:v>
                </c:pt>
                <c:pt idx="8">
                  <c:v>-1.8994600000000001E-8</c:v>
                </c:pt>
                <c:pt idx="9">
                  <c:v>-2.1907080000000001E-8</c:v>
                </c:pt>
                <c:pt idx="10">
                  <c:v>-2.545434E-8</c:v>
                </c:pt>
                <c:pt idx="11">
                  <c:v>-2.7825400000000001E-8</c:v>
                </c:pt>
                <c:pt idx="12">
                  <c:v>-2.8796229999999999E-8</c:v>
                </c:pt>
                <c:pt idx="13">
                  <c:v>-3.1783389999999999E-8</c:v>
                </c:pt>
                <c:pt idx="14">
                  <c:v>-3.3613030000000001E-8</c:v>
                </c:pt>
                <c:pt idx="15">
                  <c:v>-3.4770550000000003E-8</c:v>
                </c:pt>
                <c:pt idx="16">
                  <c:v>-3.602143E-8</c:v>
                </c:pt>
                <c:pt idx="17">
                  <c:v>-3.7888400000000003E-8</c:v>
                </c:pt>
                <c:pt idx="18">
                  <c:v>-3.8504510000000002E-8</c:v>
                </c:pt>
                <c:pt idx="19">
                  <c:v>-3.9830059999999999E-8</c:v>
                </c:pt>
                <c:pt idx="20">
                  <c:v>-4.0352810000000003E-8</c:v>
                </c:pt>
                <c:pt idx="21">
                  <c:v>-4.2443829999999998E-8</c:v>
                </c:pt>
                <c:pt idx="22">
                  <c:v>-4.2761210000000002E-8</c:v>
                </c:pt>
                <c:pt idx="23">
                  <c:v>-4.2705200000000002E-8</c:v>
                </c:pt>
                <c:pt idx="24">
                  <c:v>-4.333997E-8</c:v>
                </c:pt>
                <c:pt idx="25">
                  <c:v>-4.4049429999999998E-8</c:v>
                </c:pt>
                <c:pt idx="26">
                  <c:v>-4.5356309999999999E-8</c:v>
                </c:pt>
                <c:pt idx="27">
                  <c:v>-4.5244289999999998E-8</c:v>
                </c:pt>
                <c:pt idx="28">
                  <c:v>-4.712994E-8</c:v>
                </c:pt>
                <c:pt idx="29">
                  <c:v>-4.7316639999999997E-8</c:v>
                </c:pt>
                <c:pt idx="30">
                  <c:v>-4.6681860000000002E-8</c:v>
                </c:pt>
                <c:pt idx="31">
                  <c:v>-4.718595E-8</c:v>
                </c:pt>
                <c:pt idx="32">
                  <c:v>-4.8231450000000001E-8</c:v>
                </c:pt>
                <c:pt idx="33">
                  <c:v>-4.879155E-8</c:v>
                </c:pt>
                <c:pt idx="34">
                  <c:v>-4.9071589999999999E-8</c:v>
                </c:pt>
                <c:pt idx="35">
                  <c:v>-4.9407650000000002E-8</c:v>
                </c:pt>
                <c:pt idx="36">
                  <c:v>-4.9239620000000001E-8</c:v>
                </c:pt>
                <c:pt idx="37">
                  <c:v>-4.9874389999999999E-8</c:v>
                </c:pt>
                <c:pt idx="38">
                  <c:v>-5.0677189999999999E-8</c:v>
                </c:pt>
                <c:pt idx="39">
                  <c:v>-5.0602519999999999E-8</c:v>
                </c:pt>
                <c:pt idx="40">
                  <c:v>-5.078921E-8</c:v>
                </c:pt>
                <c:pt idx="41">
                  <c:v>-5.2357470000000001E-8</c:v>
                </c:pt>
                <c:pt idx="42">
                  <c:v>-5.1274630000000002E-8</c:v>
                </c:pt>
                <c:pt idx="43">
                  <c:v>-5.2133440000000002E-8</c:v>
                </c:pt>
                <c:pt idx="44">
                  <c:v>-5.3346969999999998E-8</c:v>
                </c:pt>
                <c:pt idx="45">
                  <c:v>-5.4000409999999999E-8</c:v>
                </c:pt>
                <c:pt idx="46">
                  <c:v>-5.3533670000000002E-8</c:v>
                </c:pt>
                <c:pt idx="47">
                  <c:v>-5.3869720000000002E-8</c:v>
                </c:pt>
                <c:pt idx="48">
                  <c:v>-5.4635179999999997E-8</c:v>
                </c:pt>
                <c:pt idx="49">
                  <c:v>-5.3813710000000002E-8</c:v>
                </c:pt>
                <c:pt idx="50">
                  <c:v>-5.4579170000000003E-8</c:v>
                </c:pt>
                <c:pt idx="51">
                  <c:v>-5.3869720000000002E-8</c:v>
                </c:pt>
                <c:pt idx="52">
                  <c:v>-5.377638E-8</c:v>
                </c:pt>
                <c:pt idx="53">
                  <c:v>-5.385105E-8</c:v>
                </c:pt>
                <c:pt idx="54">
                  <c:v>-5.3608349999999998E-8</c:v>
                </c:pt>
                <c:pt idx="55">
                  <c:v>-5.411243E-8</c:v>
                </c:pt>
                <c:pt idx="56">
                  <c:v>-5.4709870000000003E-8</c:v>
                </c:pt>
                <c:pt idx="57">
                  <c:v>-5.3683030000000001E-8</c:v>
                </c:pt>
                <c:pt idx="58">
                  <c:v>-5.3739040000000002E-8</c:v>
                </c:pt>
                <c:pt idx="59">
                  <c:v>-5.3085589999999998E-8</c:v>
                </c:pt>
                <c:pt idx="60">
                  <c:v>-5.2898899999999997E-8</c:v>
                </c:pt>
                <c:pt idx="61">
                  <c:v>-5.2058759999999999E-8</c:v>
                </c:pt>
                <c:pt idx="62">
                  <c:v>-5.1199949999999999E-8</c:v>
                </c:pt>
                <c:pt idx="63">
                  <c:v>-5.0210450000000002E-8</c:v>
                </c:pt>
                <c:pt idx="64">
                  <c:v>-4.9463660000000003E-8</c:v>
                </c:pt>
                <c:pt idx="65">
                  <c:v>-4.8194110000000003E-8</c:v>
                </c:pt>
                <c:pt idx="66">
                  <c:v>-4.6177780000000001E-8</c:v>
                </c:pt>
                <c:pt idx="67">
                  <c:v>-4.5785709999999997E-8</c:v>
                </c:pt>
                <c:pt idx="68">
                  <c:v>-4.3246629999999998E-8</c:v>
                </c:pt>
                <c:pt idx="69">
                  <c:v>-4.214511E-8</c:v>
                </c:pt>
                <c:pt idx="70">
                  <c:v>-3.9998090000000001E-8</c:v>
                </c:pt>
                <c:pt idx="71">
                  <c:v>-3.7272300000000001E-8</c:v>
                </c:pt>
                <c:pt idx="72">
                  <c:v>-3.4266470000000002E-8</c:v>
                </c:pt>
                <c:pt idx="73">
                  <c:v>-3.1465999999999999E-8</c:v>
                </c:pt>
                <c:pt idx="74">
                  <c:v>-2.6947919999999998E-8</c:v>
                </c:pt>
                <c:pt idx="75">
                  <c:v>-2.3288639999999999E-8</c:v>
                </c:pt>
                <c:pt idx="76">
                  <c:v>-1.8919920000000001E-8</c:v>
                </c:pt>
                <c:pt idx="77">
                  <c:v>-1.292692E-8</c:v>
                </c:pt>
                <c:pt idx="78">
                  <c:v>-7.1206259999999996E-9</c:v>
                </c:pt>
                <c:pt idx="79">
                  <c:v>-1.3890079999999999E-9</c:v>
                </c:pt>
                <c:pt idx="80">
                  <c:v>6.8256899999999998E-9</c:v>
                </c:pt>
                <c:pt idx="81">
                  <c:v>1.5544470000000001E-8</c:v>
                </c:pt>
                <c:pt idx="82">
                  <c:v>2.467399E-8</c:v>
                </c:pt>
                <c:pt idx="83">
                  <c:v>3.5819840000000001E-8</c:v>
                </c:pt>
                <c:pt idx="84">
                  <c:v>4.8365919999999999E-8</c:v>
                </c:pt>
                <c:pt idx="85">
                  <c:v>6.1994850000000005E-8</c:v>
                </c:pt>
                <c:pt idx="86">
                  <c:v>7.6613279999999996E-8</c:v>
                </c:pt>
                <c:pt idx="87">
                  <c:v>9.3098679999999996E-8</c:v>
                </c:pt>
                <c:pt idx="88">
                  <c:v>1.126646E-7</c:v>
                </c:pt>
                <c:pt idx="89">
                  <c:v>1.3353740000000001E-7</c:v>
                </c:pt>
                <c:pt idx="90">
                  <c:v>1.561092E-7</c:v>
                </c:pt>
                <c:pt idx="91">
                  <c:v>1.8276959999999999E-7</c:v>
                </c:pt>
                <c:pt idx="92">
                  <c:v>2.1176370000000001E-7</c:v>
                </c:pt>
                <c:pt idx="93">
                  <c:v>2.4436110000000002E-7</c:v>
                </c:pt>
                <c:pt idx="94">
                  <c:v>2.8037509999999999E-7</c:v>
                </c:pt>
                <c:pt idx="95">
                  <c:v>3.2118719999999999E-7</c:v>
                </c:pt>
                <c:pt idx="96">
                  <c:v>3.673576E-7</c:v>
                </c:pt>
                <c:pt idx="97">
                  <c:v>4.1785930000000001E-7</c:v>
                </c:pt>
                <c:pt idx="98">
                  <c:v>4.737752E-7</c:v>
                </c:pt>
                <c:pt idx="99">
                  <c:v>5.3766319999999997E-7</c:v>
                </c:pt>
                <c:pt idx="100">
                  <c:v>6.0795490000000003E-7</c:v>
                </c:pt>
                <c:pt idx="101">
                  <c:v>6.8646119999999998E-7</c:v>
                </c:pt>
                <c:pt idx="102">
                  <c:v>7.7359309999999995E-7</c:v>
                </c:pt>
                <c:pt idx="103">
                  <c:v>8.7282289999999999E-7</c:v>
                </c:pt>
                <c:pt idx="104">
                  <c:v>9.8291839999999998E-7</c:v>
                </c:pt>
                <c:pt idx="105">
                  <c:v>1.1053729999999999E-6</c:v>
                </c:pt>
                <c:pt idx="106">
                  <c:v>1.2416999999999999E-6</c:v>
                </c:pt>
                <c:pt idx="107">
                  <c:v>1.395446E-6</c:v>
                </c:pt>
                <c:pt idx="108">
                  <c:v>1.5644819999999999E-6</c:v>
                </c:pt>
                <c:pt idx="109">
                  <c:v>1.7556969999999999E-6</c:v>
                </c:pt>
                <c:pt idx="110">
                  <c:v>1.969242E-6</c:v>
                </c:pt>
                <c:pt idx="111">
                  <c:v>2.2069079999999998E-6</c:v>
                </c:pt>
                <c:pt idx="112">
                  <c:v>2.4750250000000001E-6</c:v>
                </c:pt>
                <c:pt idx="113">
                  <c:v>2.7746559999999999E-6</c:v>
                </c:pt>
                <c:pt idx="114">
                  <c:v>3.1089570000000001E-6</c:v>
                </c:pt>
                <c:pt idx="115">
                  <c:v>3.4867769999999998E-6</c:v>
                </c:pt>
                <c:pt idx="116">
                  <c:v>3.9092739999999997E-6</c:v>
                </c:pt>
                <c:pt idx="117">
                  <c:v>4.3886949999999997E-6</c:v>
                </c:pt>
                <c:pt idx="118">
                  <c:v>4.9201490000000004E-6</c:v>
                </c:pt>
                <c:pt idx="119">
                  <c:v>5.5224540000000001E-6</c:v>
                </c:pt>
                <c:pt idx="120">
                  <c:v>6.198337E-6</c:v>
                </c:pt>
                <c:pt idx="121">
                  <c:v>6.9690429999999998E-6</c:v>
                </c:pt>
                <c:pt idx="122">
                  <c:v>7.8389420000000003E-6</c:v>
                </c:pt>
                <c:pt idx="123">
                  <c:v>8.8219799999999999E-6</c:v>
                </c:pt>
                <c:pt idx="124">
                  <c:v>9.9414570000000003E-6</c:v>
                </c:pt>
                <c:pt idx="125">
                  <c:v>1.12062E-5</c:v>
                </c:pt>
                <c:pt idx="126">
                  <c:v>1.264723E-5</c:v>
                </c:pt>
                <c:pt idx="127">
                  <c:v>1.4306300000000001E-5</c:v>
                </c:pt>
                <c:pt idx="128">
                  <c:v>1.6206E-5</c:v>
                </c:pt>
                <c:pt idx="129">
                  <c:v>1.8377219999999999E-5</c:v>
                </c:pt>
                <c:pt idx="130">
                  <c:v>2.087526E-5</c:v>
                </c:pt>
                <c:pt idx="131">
                  <c:v>2.380001E-5</c:v>
                </c:pt>
                <c:pt idx="132">
                  <c:v>2.7154349999999999E-5</c:v>
                </c:pt>
                <c:pt idx="133">
                  <c:v>3.1108590000000002E-5</c:v>
                </c:pt>
                <c:pt idx="134">
                  <c:v>3.573865E-5</c:v>
                </c:pt>
                <c:pt idx="135">
                  <c:v>4.1211039999999998E-5</c:v>
                </c:pt>
                <c:pt idx="136">
                  <c:v>4.7724579999999999E-5</c:v>
                </c:pt>
                <c:pt idx="137">
                  <c:v>5.5526699999999998E-5</c:v>
                </c:pt>
                <c:pt idx="138">
                  <c:v>6.4976330000000005E-5</c:v>
                </c:pt>
                <c:pt idx="139">
                  <c:v>7.6577819999999999E-5</c:v>
                </c:pt>
                <c:pt idx="140">
                  <c:v>9.1043109999999996E-5</c:v>
                </c:pt>
                <c:pt idx="141">
                  <c:v>1.0484330000000001E-4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AD-4CBD-B306-D7467CECCA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120527"/>
        <c:axId val="28127727"/>
      </c:scatterChart>
      <c:valAx>
        <c:axId val="28120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Vds</a:t>
                </a:r>
                <a:r>
                  <a:rPr lang="en-US" altLang="ja-JP" baseline="0"/>
                  <a:t> (V)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8127727"/>
        <c:crossesAt val="-2.0000000000000008E-5"/>
        <c:crossBetween val="midCat"/>
      </c:valAx>
      <c:valAx>
        <c:axId val="2812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Id</a:t>
                </a:r>
                <a:r>
                  <a:rPr lang="en-US" altLang="ja-JP" baseline="0"/>
                  <a:t> (A)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8120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00785046359665"/>
          <c:y val="5.1968594154667765E-2"/>
          <c:w val="0.85096676395592252"/>
          <c:h val="0.80439348521406073"/>
        </c:manualLayout>
      </c:layout>
      <c:scatterChart>
        <c:scatterStyle val="lineMarker"/>
        <c:varyColors val="0"/>
        <c:ser>
          <c:idx val="0"/>
          <c:order val="0"/>
          <c:tx>
            <c:v>5 V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'SiC-MOS'!$B$3:$B$102</c:f>
              <c:numCache>
                <c:formatCode>General</c:formatCode>
                <c:ptCount val="100"/>
                <c:pt idx="0" formatCode="0.00E+00">
                  <c:v>9.9303749999999995E-4</c:v>
                </c:pt>
                <c:pt idx="1">
                  <c:v>4.8017509999999999E-2</c:v>
                </c:pt>
                <c:pt idx="2">
                  <c:v>9.5488210000000004E-2</c:v>
                </c:pt>
                <c:pt idx="3">
                  <c:v>0.1415643</c:v>
                </c:pt>
                <c:pt idx="4">
                  <c:v>0.18791939999999999</c:v>
                </c:pt>
                <c:pt idx="5">
                  <c:v>0.2363942</c:v>
                </c:pt>
                <c:pt idx="6">
                  <c:v>0.28274919999999998</c:v>
                </c:pt>
                <c:pt idx="7">
                  <c:v>0.32849070000000002</c:v>
                </c:pt>
                <c:pt idx="8">
                  <c:v>0.37534780000000001</c:v>
                </c:pt>
                <c:pt idx="9">
                  <c:v>0.42343209999999998</c:v>
                </c:pt>
                <c:pt idx="10">
                  <c:v>0.46811360000000002</c:v>
                </c:pt>
                <c:pt idx="11">
                  <c:v>0.51792720000000003</c:v>
                </c:pt>
                <c:pt idx="12">
                  <c:v>0.56272029999999995</c:v>
                </c:pt>
                <c:pt idx="13">
                  <c:v>0.60862910000000003</c:v>
                </c:pt>
                <c:pt idx="14">
                  <c:v>0.65699229999999997</c:v>
                </c:pt>
                <c:pt idx="15">
                  <c:v>0.70440720000000001</c:v>
                </c:pt>
                <c:pt idx="16">
                  <c:v>0.75070650000000005</c:v>
                </c:pt>
                <c:pt idx="17">
                  <c:v>0.79639210000000005</c:v>
                </c:pt>
                <c:pt idx="18">
                  <c:v>0.84486689999999998</c:v>
                </c:pt>
                <c:pt idx="19">
                  <c:v>0.89127780000000001</c:v>
                </c:pt>
                <c:pt idx="20">
                  <c:v>0.93690759999999995</c:v>
                </c:pt>
                <c:pt idx="21">
                  <c:v>0.9858287</c:v>
                </c:pt>
                <c:pt idx="22">
                  <c:v>1.0306219999999999</c:v>
                </c:pt>
                <c:pt idx="23">
                  <c:v>1.0905879999999999</c:v>
                </c:pt>
                <c:pt idx="24">
                  <c:v>1.1236109999999999</c:v>
                </c:pt>
                <c:pt idx="25">
                  <c:v>1.172922</c:v>
                </c:pt>
                <c:pt idx="26">
                  <c:v>1.2195009999999999</c:v>
                </c:pt>
                <c:pt idx="27">
                  <c:v>1.2645729999999999</c:v>
                </c:pt>
                <c:pt idx="28">
                  <c:v>1.312657</c:v>
                </c:pt>
                <c:pt idx="29">
                  <c:v>1.358287</c:v>
                </c:pt>
                <c:pt idx="30">
                  <c:v>1.4055340000000001</c:v>
                </c:pt>
                <c:pt idx="31">
                  <c:v>1.4538979999999999</c:v>
                </c:pt>
                <c:pt idx="32">
                  <c:v>1.4990250000000001</c:v>
                </c:pt>
                <c:pt idx="33">
                  <c:v>1.546942</c:v>
                </c:pt>
                <c:pt idx="34">
                  <c:v>1.593799</c:v>
                </c:pt>
                <c:pt idx="35">
                  <c:v>1.639429</c:v>
                </c:pt>
                <c:pt idx="36">
                  <c:v>1.6866209999999999</c:v>
                </c:pt>
                <c:pt idx="37">
                  <c:v>1.734426</c:v>
                </c:pt>
                <c:pt idx="38">
                  <c:v>1.7809489999999999</c:v>
                </c:pt>
                <c:pt idx="39">
                  <c:v>1.828754</c:v>
                </c:pt>
                <c:pt idx="40">
                  <c:v>1.87232</c:v>
                </c:pt>
                <c:pt idx="41">
                  <c:v>1.9218550000000001</c:v>
                </c:pt>
                <c:pt idx="42">
                  <c:v>1.9691019999999999</c:v>
                </c:pt>
                <c:pt idx="43">
                  <c:v>2.014119</c:v>
                </c:pt>
                <c:pt idx="44">
                  <c:v>2.0622029999999998</c:v>
                </c:pt>
                <c:pt idx="45">
                  <c:v>2.1089479999999998</c:v>
                </c:pt>
                <c:pt idx="46">
                  <c:v>2.1828599999999998</c:v>
                </c:pt>
                <c:pt idx="47">
                  <c:v>2.203109</c:v>
                </c:pt>
                <c:pt idx="48">
                  <c:v>2.2501329999999999</c:v>
                </c:pt>
                <c:pt idx="49">
                  <c:v>2.2953730000000001</c:v>
                </c:pt>
                <c:pt idx="50">
                  <c:v>2.344182</c:v>
                </c:pt>
                <c:pt idx="51">
                  <c:v>2.3909280000000002</c:v>
                </c:pt>
                <c:pt idx="52">
                  <c:v>2.437729</c:v>
                </c:pt>
                <c:pt idx="53">
                  <c:v>2.4849770000000002</c:v>
                </c:pt>
                <c:pt idx="54">
                  <c:v>2.530662</c:v>
                </c:pt>
                <c:pt idx="55">
                  <c:v>2.5763479999999999</c:v>
                </c:pt>
                <c:pt idx="56">
                  <c:v>2.625883</c:v>
                </c:pt>
                <c:pt idx="57">
                  <c:v>2.6702849999999998</c:v>
                </c:pt>
                <c:pt idx="58">
                  <c:v>2.7176439999999999</c:v>
                </c:pt>
                <c:pt idx="59">
                  <c:v>2.7663419999999999</c:v>
                </c:pt>
                <c:pt idx="60">
                  <c:v>2.8114699999999999</c:v>
                </c:pt>
                <c:pt idx="61">
                  <c:v>2.8593869999999999</c:v>
                </c:pt>
                <c:pt idx="62">
                  <c:v>2.9066350000000001</c:v>
                </c:pt>
                <c:pt idx="63">
                  <c:v>2.9522650000000001</c:v>
                </c:pt>
                <c:pt idx="64">
                  <c:v>2.9994559999999999</c:v>
                </c:pt>
                <c:pt idx="65">
                  <c:v>3.0465360000000001</c:v>
                </c:pt>
                <c:pt idx="66">
                  <c:v>3.0916640000000002</c:v>
                </c:pt>
                <c:pt idx="67">
                  <c:v>3.141032</c:v>
                </c:pt>
                <c:pt idx="68">
                  <c:v>3.1873870000000002</c:v>
                </c:pt>
                <c:pt idx="69">
                  <c:v>3.274184</c:v>
                </c:pt>
                <c:pt idx="70">
                  <c:v>3.281714</c:v>
                </c:pt>
                <c:pt idx="71">
                  <c:v>3.3273440000000001</c:v>
                </c:pt>
                <c:pt idx="72">
                  <c:v>3.375429</c:v>
                </c:pt>
                <c:pt idx="73">
                  <c:v>3.420445</c:v>
                </c:pt>
                <c:pt idx="74">
                  <c:v>3.4681389999999999</c:v>
                </c:pt>
                <c:pt idx="75">
                  <c:v>3.5136569999999998</c:v>
                </c:pt>
                <c:pt idx="76">
                  <c:v>3.5626899999999999</c:v>
                </c:pt>
                <c:pt idx="77">
                  <c:v>3.609324</c:v>
                </c:pt>
                <c:pt idx="78">
                  <c:v>3.6553439999999999</c:v>
                </c:pt>
                <c:pt idx="79">
                  <c:v>3.7034280000000002</c:v>
                </c:pt>
                <c:pt idx="80">
                  <c:v>3.748389</c:v>
                </c:pt>
                <c:pt idx="81">
                  <c:v>3.795636</c:v>
                </c:pt>
                <c:pt idx="82">
                  <c:v>3.8437760000000001</c:v>
                </c:pt>
                <c:pt idx="83">
                  <c:v>3.8877329999999999</c:v>
                </c:pt>
                <c:pt idx="84">
                  <c:v>3.936877</c:v>
                </c:pt>
                <c:pt idx="85">
                  <c:v>3.98312</c:v>
                </c:pt>
                <c:pt idx="86">
                  <c:v>4.0302009999999999</c:v>
                </c:pt>
                <c:pt idx="87">
                  <c:v>4.0777270000000003</c:v>
                </c:pt>
                <c:pt idx="88">
                  <c:v>4.1246400000000003</c:v>
                </c:pt>
                <c:pt idx="89">
                  <c:v>4.1696</c:v>
                </c:pt>
                <c:pt idx="90">
                  <c:v>4.2177410000000002</c:v>
                </c:pt>
                <c:pt idx="91">
                  <c:v>4.2656020000000003</c:v>
                </c:pt>
                <c:pt idx="92">
                  <c:v>4.3643359999999998</c:v>
                </c:pt>
                <c:pt idx="93">
                  <c:v>4.3576980000000001</c:v>
                </c:pt>
                <c:pt idx="94">
                  <c:v>4.4051689999999999</c:v>
                </c:pt>
                <c:pt idx="95">
                  <c:v>4.4501850000000003</c:v>
                </c:pt>
                <c:pt idx="96">
                  <c:v>4.5005559999999996</c:v>
                </c:pt>
                <c:pt idx="97">
                  <c:v>4.546856</c:v>
                </c:pt>
                <c:pt idx="98">
                  <c:v>4.5931550000000003</c:v>
                </c:pt>
                <c:pt idx="99">
                  <c:v>4.6382269999999997</c:v>
                </c:pt>
              </c:numCache>
            </c:numRef>
          </c:xVal>
          <c:yVal>
            <c:numRef>
              <c:f>'SiC-MOS'!$C$3:$C$102</c:f>
              <c:numCache>
                <c:formatCode>General</c:formatCode>
                <c:ptCount val="100"/>
                <c:pt idx="0">
                  <c:v>-1.015512E-2</c:v>
                </c:pt>
                <c:pt idx="1">
                  <c:v>-3.4820300000000001E-3</c:v>
                </c:pt>
                <c:pt idx="2">
                  <c:v>1.022306E-3</c:v>
                </c:pt>
                <c:pt idx="3">
                  <c:v>6.5276049999999997E-3</c:v>
                </c:pt>
                <c:pt idx="4">
                  <c:v>1.119877E-2</c:v>
                </c:pt>
                <c:pt idx="5">
                  <c:v>1.13656E-2</c:v>
                </c:pt>
                <c:pt idx="6">
                  <c:v>1.536945E-2</c:v>
                </c:pt>
                <c:pt idx="7">
                  <c:v>2.004061E-2</c:v>
                </c:pt>
                <c:pt idx="8">
                  <c:v>2.437812E-2</c:v>
                </c:pt>
                <c:pt idx="9">
                  <c:v>2.3543990000000001E-2</c:v>
                </c:pt>
                <c:pt idx="10">
                  <c:v>3.2552659999999997E-2</c:v>
                </c:pt>
                <c:pt idx="11">
                  <c:v>2.8215150000000001E-2</c:v>
                </c:pt>
                <c:pt idx="12">
                  <c:v>3.2385829999999997E-2</c:v>
                </c:pt>
                <c:pt idx="13">
                  <c:v>4.0226709999999999E-2</c:v>
                </c:pt>
                <c:pt idx="14">
                  <c:v>3.7223819999999998E-2</c:v>
                </c:pt>
                <c:pt idx="15">
                  <c:v>3.9225749999999997E-2</c:v>
                </c:pt>
                <c:pt idx="16">
                  <c:v>4.1394500000000001E-2</c:v>
                </c:pt>
                <c:pt idx="17">
                  <c:v>4.3896909999999997E-2</c:v>
                </c:pt>
                <c:pt idx="18">
                  <c:v>4.5565179999999997E-2</c:v>
                </c:pt>
                <c:pt idx="19">
                  <c:v>4.7400280000000003E-2</c:v>
                </c:pt>
                <c:pt idx="20">
                  <c:v>5.4240200000000002E-2</c:v>
                </c:pt>
                <c:pt idx="21">
                  <c:v>5.0236339999999997E-2</c:v>
                </c:pt>
                <c:pt idx="22">
                  <c:v>5.3906549999999998E-2</c:v>
                </c:pt>
                <c:pt idx="23">
                  <c:v>5.8410879999999998E-2</c:v>
                </c:pt>
                <c:pt idx="24">
                  <c:v>5.8077230000000001E-2</c:v>
                </c:pt>
                <c:pt idx="25">
                  <c:v>5.6742609999999999E-2</c:v>
                </c:pt>
                <c:pt idx="26">
                  <c:v>6.1580599999999999E-2</c:v>
                </c:pt>
                <c:pt idx="27">
                  <c:v>6.5250799999999998E-2</c:v>
                </c:pt>
                <c:pt idx="28">
                  <c:v>6.4083009999999996E-2</c:v>
                </c:pt>
                <c:pt idx="29">
                  <c:v>7.1923890000000004E-2</c:v>
                </c:pt>
                <c:pt idx="30">
                  <c:v>6.9087830000000003E-2</c:v>
                </c:pt>
                <c:pt idx="31">
                  <c:v>6.8920999999999996E-2</c:v>
                </c:pt>
                <c:pt idx="32">
                  <c:v>7.2758030000000001E-2</c:v>
                </c:pt>
                <c:pt idx="33">
                  <c:v>7.4926779999999998E-2</c:v>
                </c:pt>
                <c:pt idx="34">
                  <c:v>7.4593129999999994E-2</c:v>
                </c:pt>
                <c:pt idx="35">
                  <c:v>8.0598909999999996E-2</c:v>
                </c:pt>
                <c:pt idx="36">
                  <c:v>7.8430150000000004E-2</c:v>
                </c:pt>
                <c:pt idx="37">
                  <c:v>8.2767660000000007E-2</c:v>
                </c:pt>
                <c:pt idx="38">
                  <c:v>8.293449E-2</c:v>
                </c:pt>
                <c:pt idx="39">
                  <c:v>8.2267179999999995E-2</c:v>
                </c:pt>
                <c:pt idx="40">
                  <c:v>8.8940270000000002E-2</c:v>
                </c:pt>
                <c:pt idx="41">
                  <c:v>8.9440749999999999E-2</c:v>
                </c:pt>
                <c:pt idx="42">
                  <c:v>8.8773439999999995E-2</c:v>
                </c:pt>
                <c:pt idx="43">
                  <c:v>9.6280669999999999E-2</c:v>
                </c:pt>
                <c:pt idx="44">
                  <c:v>9.2777299999999993E-2</c:v>
                </c:pt>
                <c:pt idx="45">
                  <c:v>9.4779219999999997E-2</c:v>
                </c:pt>
                <c:pt idx="46">
                  <c:v>9.3277769999999996E-2</c:v>
                </c:pt>
                <c:pt idx="47">
                  <c:v>9.7114800000000001E-2</c:v>
                </c:pt>
                <c:pt idx="48">
                  <c:v>0.10262010000000001</c:v>
                </c:pt>
                <c:pt idx="49">
                  <c:v>0.1032874</c:v>
                </c:pt>
                <c:pt idx="50">
                  <c:v>0.1022865</c:v>
                </c:pt>
                <c:pt idx="51">
                  <c:v>0.1057898</c:v>
                </c:pt>
                <c:pt idx="52">
                  <c:v>0.1062903</c:v>
                </c:pt>
                <c:pt idx="53">
                  <c:v>0.10879270000000001</c:v>
                </c:pt>
                <c:pt idx="54">
                  <c:v>0.1124629</c:v>
                </c:pt>
                <c:pt idx="55">
                  <c:v>0.1179682</c:v>
                </c:pt>
                <c:pt idx="56">
                  <c:v>0.1141312</c:v>
                </c:pt>
                <c:pt idx="57">
                  <c:v>0.1204706</c:v>
                </c:pt>
                <c:pt idx="58">
                  <c:v>0.1198033</c:v>
                </c:pt>
                <c:pt idx="59">
                  <c:v>0.1199701</c:v>
                </c:pt>
                <c:pt idx="60">
                  <c:v>0.123974</c:v>
                </c:pt>
                <c:pt idx="61">
                  <c:v>0.1246413</c:v>
                </c:pt>
                <c:pt idx="62">
                  <c:v>0.12681010000000001</c:v>
                </c:pt>
                <c:pt idx="63">
                  <c:v>0.12847829999999999</c:v>
                </c:pt>
                <c:pt idx="64">
                  <c:v>0.1323154</c:v>
                </c:pt>
                <c:pt idx="65">
                  <c:v>0.12964609999999999</c:v>
                </c:pt>
                <c:pt idx="66">
                  <c:v>0.13915530000000001</c:v>
                </c:pt>
                <c:pt idx="67">
                  <c:v>0.13481779999999999</c:v>
                </c:pt>
                <c:pt idx="68">
                  <c:v>0.1393221</c:v>
                </c:pt>
                <c:pt idx="69">
                  <c:v>0.1354851</c:v>
                </c:pt>
                <c:pt idx="70">
                  <c:v>0.1406567</c:v>
                </c:pt>
                <c:pt idx="71">
                  <c:v>0.14416010000000001</c:v>
                </c:pt>
                <c:pt idx="72">
                  <c:v>0.14382639999999999</c:v>
                </c:pt>
                <c:pt idx="73">
                  <c:v>0.15233459999999999</c:v>
                </c:pt>
                <c:pt idx="74">
                  <c:v>0.14899809999999999</c:v>
                </c:pt>
                <c:pt idx="75">
                  <c:v>0.15517069999999999</c:v>
                </c:pt>
                <c:pt idx="76">
                  <c:v>0.15316879999999999</c:v>
                </c:pt>
                <c:pt idx="77">
                  <c:v>0.15366920000000001</c:v>
                </c:pt>
                <c:pt idx="78">
                  <c:v>0.1571726</c:v>
                </c:pt>
                <c:pt idx="79">
                  <c:v>0.15733939999999999</c:v>
                </c:pt>
                <c:pt idx="80">
                  <c:v>0.15984190000000001</c:v>
                </c:pt>
                <c:pt idx="81">
                  <c:v>0.16251109999999999</c:v>
                </c:pt>
                <c:pt idx="82">
                  <c:v>0.16267789999999999</c:v>
                </c:pt>
                <c:pt idx="83">
                  <c:v>0.17118610000000001</c:v>
                </c:pt>
                <c:pt idx="84">
                  <c:v>0.16901730000000001</c:v>
                </c:pt>
                <c:pt idx="85">
                  <c:v>0.16985149999999999</c:v>
                </c:pt>
                <c:pt idx="86">
                  <c:v>0.17318800000000001</c:v>
                </c:pt>
                <c:pt idx="87">
                  <c:v>0.17402219999999999</c:v>
                </c:pt>
                <c:pt idx="88">
                  <c:v>0.17635770000000001</c:v>
                </c:pt>
                <c:pt idx="89">
                  <c:v>0.1826972</c:v>
                </c:pt>
                <c:pt idx="90">
                  <c:v>0.1818631</c:v>
                </c:pt>
                <c:pt idx="91">
                  <c:v>0.18102889999999999</c:v>
                </c:pt>
                <c:pt idx="92">
                  <c:v>0.1796943</c:v>
                </c:pt>
                <c:pt idx="93">
                  <c:v>0.1892035</c:v>
                </c:pt>
                <c:pt idx="94">
                  <c:v>0.18836929999999999</c:v>
                </c:pt>
                <c:pt idx="95">
                  <c:v>0.19570969999999999</c:v>
                </c:pt>
                <c:pt idx="96">
                  <c:v>0.1902044</c:v>
                </c:pt>
                <c:pt idx="97">
                  <c:v>0.19253999999999999</c:v>
                </c:pt>
                <c:pt idx="98">
                  <c:v>0.19554289999999999</c:v>
                </c:pt>
                <c:pt idx="99">
                  <c:v>0.20271649999999999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35-46C8-83A7-B6321B787553}"/>
            </c:ext>
          </c:extLst>
        </c:ser>
        <c:ser>
          <c:idx val="1"/>
          <c:order val="1"/>
          <c:tx>
            <c:v>8 V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'SiC-MOS'!$D$3:$D$102</c:f>
              <c:numCache>
                <c:formatCode>General</c:formatCode>
                <c:ptCount val="100"/>
                <c:pt idx="0">
                  <c:v>-1.461394E-3</c:v>
                </c:pt>
                <c:pt idx="1">
                  <c:v>4.4836809999999998E-2</c:v>
                </c:pt>
                <c:pt idx="2">
                  <c:v>9.2138940000000003E-2</c:v>
                </c:pt>
                <c:pt idx="3">
                  <c:v>0.1392737</c:v>
                </c:pt>
                <c:pt idx="4">
                  <c:v>0.18495819999999999</c:v>
                </c:pt>
                <c:pt idx="5">
                  <c:v>0.2312563</c:v>
                </c:pt>
                <c:pt idx="6">
                  <c:v>0.2752115</c:v>
                </c:pt>
                <c:pt idx="7">
                  <c:v>0.32234629999999997</c:v>
                </c:pt>
                <c:pt idx="8">
                  <c:v>0.3700947</c:v>
                </c:pt>
                <c:pt idx="9">
                  <c:v>0.41516560000000002</c:v>
                </c:pt>
                <c:pt idx="10">
                  <c:v>0.4628582</c:v>
                </c:pt>
                <c:pt idx="11">
                  <c:v>0.50859840000000001</c:v>
                </c:pt>
                <c:pt idx="12">
                  <c:v>0.5550638</c:v>
                </c:pt>
                <c:pt idx="13">
                  <c:v>0.60175239999999997</c:v>
                </c:pt>
                <c:pt idx="14">
                  <c:v>0.64743689999999998</c:v>
                </c:pt>
                <c:pt idx="15">
                  <c:v>0.69446010000000002</c:v>
                </c:pt>
                <c:pt idx="16">
                  <c:v>0.74064660000000004</c:v>
                </c:pt>
                <c:pt idx="17">
                  <c:v>0.78661000000000003</c:v>
                </c:pt>
                <c:pt idx="18">
                  <c:v>0.83441419999999999</c:v>
                </c:pt>
                <c:pt idx="19">
                  <c:v>0.87954080000000001</c:v>
                </c:pt>
                <c:pt idx="20">
                  <c:v>0.92717769999999999</c:v>
                </c:pt>
                <c:pt idx="21">
                  <c:v>0.97102140000000003</c:v>
                </c:pt>
                <c:pt idx="22">
                  <c:v>1.0183789999999999</c:v>
                </c:pt>
                <c:pt idx="23">
                  <c:v>1.080463</c:v>
                </c:pt>
                <c:pt idx="24">
                  <c:v>1.111199</c:v>
                </c:pt>
                <c:pt idx="25">
                  <c:v>1.1588909999999999</c:v>
                </c:pt>
                <c:pt idx="26">
                  <c:v>1.20597</c:v>
                </c:pt>
                <c:pt idx="27">
                  <c:v>1.252157</c:v>
                </c:pt>
                <c:pt idx="28">
                  <c:v>1.2987340000000001</c:v>
                </c:pt>
                <c:pt idx="29">
                  <c:v>1.3457570000000001</c:v>
                </c:pt>
                <c:pt idx="30">
                  <c:v>1.389545</c:v>
                </c:pt>
                <c:pt idx="31">
                  <c:v>1.4377390000000001</c:v>
                </c:pt>
                <c:pt idx="32">
                  <c:v>1.48532</c:v>
                </c:pt>
                <c:pt idx="33">
                  <c:v>1.5319529999999999</c:v>
                </c:pt>
                <c:pt idx="34">
                  <c:v>1.578195</c:v>
                </c:pt>
                <c:pt idx="35">
                  <c:v>1.6246050000000001</c:v>
                </c:pt>
                <c:pt idx="36">
                  <c:v>1.668895</c:v>
                </c:pt>
                <c:pt idx="37">
                  <c:v>1.7160299999999999</c:v>
                </c:pt>
                <c:pt idx="38">
                  <c:v>1.764057</c:v>
                </c:pt>
                <c:pt idx="39">
                  <c:v>1.8119730000000001</c:v>
                </c:pt>
                <c:pt idx="40">
                  <c:v>1.856374</c:v>
                </c:pt>
                <c:pt idx="41">
                  <c:v>1.9014450000000001</c:v>
                </c:pt>
                <c:pt idx="42">
                  <c:v>1.951257</c:v>
                </c:pt>
                <c:pt idx="43">
                  <c:v>1.997109</c:v>
                </c:pt>
                <c:pt idx="44">
                  <c:v>2.0419010000000002</c:v>
                </c:pt>
                <c:pt idx="45">
                  <c:v>2.0903749999999999</c:v>
                </c:pt>
                <c:pt idx="46">
                  <c:v>2.1644519999999998</c:v>
                </c:pt>
                <c:pt idx="47">
                  <c:v>2.1840310000000001</c:v>
                </c:pt>
                <c:pt idx="48">
                  <c:v>2.2273170000000002</c:v>
                </c:pt>
                <c:pt idx="49">
                  <c:v>2.2774640000000002</c:v>
                </c:pt>
                <c:pt idx="50">
                  <c:v>2.322702</c:v>
                </c:pt>
                <c:pt idx="51">
                  <c:v>2.369837</c:v>
                </c:pt>
                <c:pt idx="52">
                  <c:v>2.4163579999999998</c:v>
                </c:pt>
                <c:pt idx="53">
                  <c:v>2.4612620000000001</c:v>
                </c:pt>
                <c:pt idx="54">
                  <c:v>2.5106830000000002</c:v>
                </c:pt>
                <c:pt idx="55">
                  <c:v>2.5533549999999998</c:v>
                </c:pt>
                <c:pt idx="56">
                  <c:v>2.6035029999999999</c:v>
                </c:pt>
                <c:pt idx="57">
                  <c:v>2.648406</c:v>
                </c:pt>
                <c:pt idx="58">
                  <c:v>2.6940909999999998</c:v>
                </c:pt>
                <c:pt idx="59">
                  <c:v>2.7433450000000001</c:v>
                </c:pt>
                <c:pt idx="60">
                  <c:v>2.7879139999999998</c:v>
                </c:pt>
                <c:pt idx="61">
                  <c:v>2.8334869999999999</c:v>
                </c:pt>
                <c:pt idx="62">
                  <c:v>2.882072</c:v>
                </c:pt>
                <c:pt idx="63">
                  <c:v>2.9300989999999998</c:v>
                </c:pt>
                <c:pt idx="64">
                  <c:v>2.9758390000000001</c:v>
                </c:pt>
                <c:pt idx="65">
                  <c:v>3.020743</c:v>
                </c:pt>
                <c:pt idx="66">
                  <c:v>3.0667059999999999</c:v>
                </c:pt>
                <c:pt idx="67">
                  <c:v>3.1155149999999998</c:v>
                </c:pt>
                <c:pt idx="68">
                  <c:v>3.1622590000000002</c:v>
                </c:pt>
                <c:pt idx="69">
                  <c:v>3.2489979999999998</c:v>
                </c:pt>
                <c:pt idx="70">
                  <c:v>3.252624</c:v>
                </c:pt>
                <c:pt idx="71">
                  <c:v>3.300818</c:v>
                </c:pt>
                <c:pt idx="72">
                  <c:v>3.348176</c:v>
                </c:pt>
                <c:pt idx="73">
                  <c:v>3.3949210000000001</c:v>
                </c:pt>
                <c:pt idx="74">
                  <c:v>3.4403820000000001</c:v>
                </c:pt>
                <c:pt idx="75">
                  <c:v>3.4874610000000001</c:v>
                </c:pt>
                <c:pt idx="76">
                  <c:v>3.5328659999999998</c:v>
                </c:pt>
                <c:pt idx="77">
                  <c:v>3.5787740000000001</c:v>
                </c:pt>
                <c:pt idx="78">
                  <c:v>3.626188</c:v>
                </c:pt>
                <c:pt idx="79">
                  <c:v>3.6744940000000001</c:v>
                </c:pt>
                <c:pt idx="80">
                  <c:v>3.7200669999999998</c:v>
                </c:pt>
                <c:pt idx="81">
                  <c:v>3.76458</c:v>
                </c:pt>
                <c:pt idx="82">
                  <c:v>3.8143370000000001</c:v>
                </c:pt>
                <c:pt idx="83">
                  <c:v>3.8598539999999999</c:v>
                </c:pt>
                <c:pt idx="84">
                  <c:v>3.9051480000000001</c:v>
                </c:pt>
                <c:pt idx="85">
                  <c:v>3.9531749999999999</c:v>
                </c:pt>
                <c:pt idx="86">
                  <c:v>3.9998079999999998</c:v>
                </c:pt>
                <c:pt idx="87">
                  <c:v>4.046106</c:v>
                </c:pt>
                <c:pt idx="88">
                  <c:v>4.0932969999999997</c:v>
                </c:pt>
                <c:pt idx="89">
                  <c:v>4.1399850000000002</c:v>
                </c:pt>
                <c:pt idx="90">
                  <c:v>4.1844979999999996</c:v>
                </c:pt>
                <c:pt idx="91">
                  <c:v>4.2319120000000003</c:v>
                </c:pt>
                <c:pt idx="92">
                  <c:v>4.3312569999999999</c:v>
                </c:pt>
                <c:pt idx="93">
                  <c:v>4.325958</c:v>
                </c:pt>
                <c:pt idx="94">
                  <c:v>4.3702480000000001</c:v>
                </c:pt>
                <c:pt idx="95">
                  <c:v>4.4187770000000004</c:v>
                </c:pt>
                <c:pt idx="96">
                  <c:v>4.4658009999999999</c:v>
                </c:pt>
                <c:pt idx="97">
                  <c:v>4.5110390000000002</c:v>
                </c:pt>
                <c:pt idx="98">
                  <c:v>4.5566120000000003</c:v>
                </c:pt>
                <c:pt idx="99">
                  <c:v>4.6058659999999998</c:v>
                </c:pt>
              </c:numCache>
            </c:numRef>
          </c:xVal>
          <c:yVal>
            <c:numRef>
              <c:f>'SiC-MOS'!$E$3:$E$102</c:f>
              <c:numCache>
                <c:formatCode>General</c:formatCode>
                <c:ptCount val="100"/>
                <c:pt idx="0">
                  <c:v>-4.6496630000000001E-3</c:v>
                </c:pt>
                <c:pt idx="1">
                  <c:v>0.1122971</c:v>
                </c:pt>
                <c:pt idx="2">
                  <c:v>0.22357179999999999</c:v>
                </c:pt>
                <c:pt idx="3">
                  <c:v>0.32950790000000002</c:v>
                </c:pt>
                <c:pt idx="4">
                  <c:v>0.4271026</c:v>
                </c:pt>
                <c:pt idx="5">
                  <c:v>0.52202809999999999</c:v>
                </c:pt>
                <c:pt idx="6">
                  <c:v>0.61595259999999996</c:v>
                </c:pt>
                <c:pt idx="7">
                  <c:v>0.69819900000000001</c:v>
                </c:pt>
                <c:pt idx="8">
                  <c:v>0.78044550000000001</c:v>
                </c:pt>
                <c:pt idx="9">
                  <c:v>0.86035629999999996</c:v>
                </c:pt>
                <c:pt idx="10">
                  <c:v>0.93209260000000005</c:v>
                </c:pt>
                <c:pt idx="11">
                  <c:v>1.009334</c:v>
                </c:pt>
                <c:pt idx="12">
                  <c:v>1.0790690000000001</c:v>
                </c:pt>
                <c:pt idx="13">
                  <c:v>1.14897</c:v>
                </c:pt>
                <c:pt idx="14">
                  <c:v>1.219705</c:v>
                </c:pt>
                <c:pt idx="15">
                  <c:v>1.2856019999999999</c:v>
                </c:pt>
                <c:pt idx="16">
                  <c:v>1.349998</c:v>
                </c:pt>
                <c:pt idx="17">
                  <c:v>1.4142269999999999</c:v>
                </c:pt>
                <c:pt idx="18">
                  <c:v>1.4719500000000001</c:v>
                </c:pt>
                <c:pt idx="19">
                  <c:v>1.53451</c:v>
                </c:pt>
                <c:pt idx="20">
                  <c:v>1.596571</c:v>
                </c:pt>
                <c:pt idx="21">
                  <c:v>1.658798</c:v>
                </c:pt>
                <c:pt idx="22">
                  <c:v>1.711849</c:v>
                </c:pt>
                <c:pt idx="23">
                  <c:v>1.7849200000000001</c:v>
                </c:pt>
                <c:pt idx="24">
                  <c:v>1.826794</c:v>
                </c:pt>
                <c:pt idx="25">
                  <c:v>1.880179</c:v>
                </c:pt>
                <c:pt idx="26">
                  <c:v>1.9338979999999999</c:v>
                </c:pt>
                <c:pt idx="27">
                  <c:v>1.9836130000000001</c:v>
                </c:pt>
                <c:pt idx="28">
                  <c:v>2.0396670000000001</c:v>
                </c:pt>
                <c:pt idx="29">
                  <c:v>2.0915509999999999</c:v>
                </c:pt>
                <c:pt idx="30">
                  <c:v>2.1471049999999998</c:v>
                </c:pt>
                <c:pt idx="31">
                  <c:v>2.195986</c:v>
                </c:pt>
                <c:pt idx="32">
                  <c:v>2.2428650000000001</c:v>
                </c:pt>
                <c:pt idx="33">
                  <c:v>2.2927460000000002</c:v>
                </c:pt>
                <c:pt idx="34">
                  <c:v>2.3416269999999999</c:v>
                </c:pt>
                <c:pt idx="35">
                  <c:v>2.3938440000000001</c:v>
                </c:pt>
                <c:pt idx="36">
                  <c:v>2.4458950000000002</c:v>
                </c:pt>
                <c:pt idx="37">
                  <c:v>2.4937749999999999</c:v>
                </c:pt>
                <c:pt idx="38">
                  <c:v>2.5413209999999999</c:v>
                </c:pt>
                <c:pt idx="39">
                  <c:v>2.5848629999999999</c:v>
                </c:pt>
                <c:pt idx="40">
                  <c:v>2.6329099999999999</c:v>
                </c:pt>
                <c:pt idx="41">
                  <c:v>2.6862949999999999</c:v>
                </c:pt>
                <c:pt idx="42">
                  <c:v>2.7268340000000002</c:v>
                </c:pt>
                <c:pt idx="43">
                  <c:v>2.7728790000000001</c:v>
                </c:pt>
                <c:pt idx="44">
                  <c:v>2.8274319999999999</c:v>
                </c:pt>
                <c:pt idx="45">
                  <c:v>2.8653019999999998</c:v>
                </c:pt>
                <c:pt idx="46">
                  <c:v>2.937872</c:v>
                </c:pt>
                <c:pt idx="47">
                  <c:v>2.956223</c:v>
                </c:pt>
                <c:pt idx="48">
                  <c:v>3.0037699999999998</c:v>
                </c:pt>
                <c:pt idx="49">
                  <c:v>3.0479790000000002</c:v>
                </c:pt>
                <c:pt idx="50">
                  <c:v>3.0936900000000001</c:v>
                </c:pt>
                <c:pt idx="51">
                  <c:v>3.1387339999999999</c:v>
                </c:pt>
                <c:pt idx="52">
                  <c:v>3.1814420000000001</c:v>
                </c:pt>
                <c:pt idx="53">
                  <c:v>3.2321580000000001</c:v>
                </c:pt>
                <c:pt idx="54">
                  <c:v>3.269361</c:v>
                </c:pt>
                <c:pt idx="55">
                  <c:v>3.3207439999999999</c:v>
                </c:pt>
                <c:pt idx="56">
                  <c:v>3.3592810000000002</c:v>
                </c:pt>
                <c:pt idx="57">
                  <c:v>3.4036569999999999</c:v>
                </c:pt>
                <c:pt idx="58">
                  <c:v>3.4513699999999998</c:v>
                </c:pt>
                <c:pt idx="59">
                  <c:v>3.490408</c:v>
                </c:pt>
                <c:pt idx="60">
                  <c:v>3.5339510000000001</c:v>
                </c:pt>
                <c:pt idx="61">
                  <c:v>3.5829979999999999</c:v>
                </c:pt>
                <c:pt idx="62">
                  <c:v>3.620368</c:v>
                </c:pt>
                <c:pt idx="63">
                  <c:v>3.6635759999999999</c:v>
                </c:pt>
                <c:pt idx="64">
                  <c:v>3.707452</c:v>
                </c:pt>
                <c:pt idx="65">
                  <c:v>3.7524959999999998</c:v>
                </c:pt>
                <c:pt idx="66">
                  <c:v>3.8012100000000002</c:v>
                </c:pt>
                <c:pt idx="67">
                  <c:v>3.8369110000000002</c:v>
                </c:pt>
                <c:pt idx="68">
                  <c:v>3.879953</c:v>
                </c:pt>
                <c:pt idx="69">
                  <c:v>3.9570280000000002</c:v>
                </c:pt>
                <c:pt idx="70">
                  <c:v>3.9692059999999998</c:v>
                </c:pt>
                <c:pt idx="71">
                  <c:v>4.0107460000000001</c:v>
                </c:pt>
                <c:pt idx="72">
                  <c:v>4.0512860000000002</c:v>
                </c:pt>
                <c:pt idx="73">
                  <c:v>4.0928259999999996</c:v>
                </c:pt>
                <c:pt idx="74">
                  <c:v>4.1348669999999998</c:v>
                </c:pt>
                <c:pt idx="75">
                  <c:v>4.1750730000000003</c:v>
                </c:pt>
                <c:pt idx="76">
                  <c:v>4.2262890000000004</c:v>
                </c:pt>
                <c:pt idx="77">
                  <c:v>4.2661610000000003</c:v>
                </c:pt>
                <c:pt idx="78">
                  <c:v>4.3075349999999997</c:v>
                </c:pt>
                <c:pt idx="79">
                  <c:v>4.347073</c:v>
                </c:pt>
                <c:pt idx="80">
                  <c:v>4.3907819999999997</c:v>
                </c:pt>
                <c:pt idx="81">
                  <c:v>4.4359929999999999</c:v>
                </c:pt>
                <c:pt idx="82">
                  <c:v>4.4726949999999999</c:v>
                </c:pt>
                <c:pt idx="83">
                  <c:v>4.5159029999999998</c:v>
                </c:pt>
                <c:pt idx="84">
                  <c:v>4.5634490000000003</c:v>
                </c:pt>
                <c:pt idx="85">
                  <c:v>4.5974830000000004</c:v>
                </c:pt>
                <c:pt idx="86">
                  <c:v>4.6433609999999996</c:v>
                </c:pt>
                <c:pt idx="87">
                  <c:v>4.6847339999999997</c:v>
                </c:pt>
                <c:pt idx="88">
                  <c:v>4.7264410000000003</c:v>
                </c:pt>
                <c:pt idx="89">
                  <c:v>4.7671469999999996</c:v>
                </c:pt>
                <c:pt idx="90">
                  <c:v>4.8136929999999998</c:v>
                </c:pt>
                <c:pt idx="91">
                  <c:v>4.8555669999999997</c:v>
                </c:pt>
                <c:pt idx="92">
                  <c:v>4.9428179999999999</c:v>
                </c:pt>
                <c:pt idx="93">
                  <c:v>4.9364780000000001</c:v>
                </c:pt>
                <c:pt idx="94">
                  <c:v>4.982189</c:v>
                </c:pt>
                <c:pt idx="95">
                  <c:v>5.0212269999999997</c:v>
                </c:pt>
                <c:pt idx="96">
                  <c:v>5.0626009999999999</c:v>
                </c:pt>
                <c:pt idx="97">
                  <c:v>5.1088120000000004</c:v>
                </c:pt>
                <c:pt idx="98">
                  <c:v>5.14785</c:v>
                </c:pt>
                <c:pt idx="99">
                  <c:v>5.187055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35-46C8-83A7-B6321B787553}"/>
            </c:ext>
          </c:extLst>
        </c:ser>
        <c:ser>
          <c:idx val="2"/>
          <c:order val="2"/>
          <c:tx>
            <c:v>12 V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'SiC-MOS'!$F$3:$F$102</c:f>
              <c:numCache>
                <c:formatCode>General</c:formatCode>
                <c:ptCount val="100"/>
                <c:pt idx="0" formatCode="0.00E+00">
                  <c:v>-8.4757530000000004E-4</c:v>
                </c:pt>
                <c:pt idx="1">
                  <c:v>4.2714080000000001E-2</c:v>
                </c:pt>
                <c:pt idx="2">
                  <c:v>8.3375249999999998E-2</c:v>
                </c:pt>
                <c:pt idx="3">
                  <c:v>0.12855430000000001</c:v>
                </c:pt>
                <c:pt idx="4">
                  <c:v>0.17161390000000001</c:v>
                </c:pt>
                <c:pt idx="5">
                  <c:v>0.21656980000000001</c:v>
                </c:pt>
                <c:pt idx="6">
                  <c:v>0.2602429</c:v>
                </c:pt>
                <c:pt idx="7">
                  <c:v>0.3040834</c:v>
                </c:pt>
                <c:pt idx="8">
                  <c:v>0.34781220000000002</c:v>
                </c:pt>
                <c:pt idx="9">
                  <c:v>0.39115070000000002</c:v>
                </c:pt>
                <c:pt idx="10">
                  <c:v>0.4346564</c:v>
                </c:pt>
                <c:pt idx="11">
                  <c:v>0.47665629999999998</c:v>
                </c:pt>
                <c:pt idx="12">
                  <c:v>0.52138910000000005</c:v>
                </c:pt>
                <c:pt idx="13">
                  <c:v>0.56545259999999997</c:v>
                </c:pt>
                <c:pt idx="14">
                  <c:v>0.61046440000000002</c:v>
                </c:pt>
                <c:pt idx="15">
                  <c:v>0.6534124</c:v>
                </c:pt>
                <c:pt idx="16">
                  <c:v>0.69613729999999996</c:v>
                </c:pt>
                <c:pt idx="17">
                  <c:v>0.74187420000000004</c:v>
                </c:pt>
                <c:pt idx="18">
                  <c:v>0.78627230000000004</c:v>
                </c:pt>
                <c:pt idx="19">
                  <c:v>0.83150710000000005</c:v>
                </c:pt>
                <c:pt idx="20">
                  <c:v>0.87674200000000002</c:v>
                </c:pt>
                <c:pt idx="21">
                  <c:v>0.92035940000000005</c:v>
                </c:pt>
                <c:pt idx="22">
                  <c:v>0.96431129999999998</c:v>
                </c:pt>
                <c:pt idx="23">
                  <c:v>1.024494</c:v>
                </c:pt>
                <c:pt idx="24">
                  <c:v>1.054</c:v>
                </c:pt>
                <c:pt idx="25">
                  <c:v>1.0990679999999999</c:v>
                </c:pt>
                <c:pt idx="26">
                  <c:v>1.144247</c:v>
                </c:pt>
                <c:pt idx="27">
                  <c:v>1.1904300000000001</c:v>
                </c:pt>
                <c:pt idx="28">
                  <c:v>1.237115</c:v>
                </c:pt>
                <c:pt idx="29">
                  <c:v>1.283131</c:v>
                </c:pt>
                <c:pt idx="30">
                  <c:v>1.327529</c:v>
                </c:pt>
                <c:pt idx="31">
                  <c:v>1.37321</c:v>
                </c:pt>
                <c:pt idx="32">
                  <c:v>1.4187240000000001</c:v>
                </c:pt>
                <c:pt idx="33">
                  <c:v>1.46407</c:v>
                </c:pt>
                <c:pt idx="34">
                  <c:v>1.5092490000000001</c:v>
                </c:pt>
                <c:pt idx="35">
                  <c:v>1.555655</c:v>
                </c:pt>
                <c:pt idx="36">
                  <c:v>1.6003879999999999</c:v>
                </c:pt>
                <c:pt idx="37">
                  <c:v>1.6456789999999999</c:v>
                </c:pt>
                <c:pt idx="38">
                  <c:v>1.6902999999999999</c:v>
                </c:pt>
                <c:pt idx="39">
                  <c:v>1.7368729999999999</c:v>
                </c:pt>
                <c:pt idx="40">
                  <c:v>1.7828889999999999</c:v>
                </c:pt>
                <c:pt idx="41">
                  <c:v>1.829016</c:v>
                </c:pt>
                <c:pt idx="42">
                  <c:v>1.8745860000000001</c:v>
                </c:pt>
                <c:pt idx="43">
                  <c:v>1.919319</c:v>
                </c:pt>
                <c:pt idx="44">
                  <c:v>1.9656690000000001</c:v>
                </c:pt>
                <c:pt idx="45">
                  <c:v>2.010904</c:v>
                </c:pt>
                <c:pt idx="46">
                  <c:v>2.082856</c:v>
                </c:pt>
                <c:pt idx="47">
                  <c:v>2.101318</c:v>
                </c:pt>
                <c:pt idx="48">
                  <c:v>2.1458279999999998</c:v>
                </c:pt>
                <c:pt idx="49">
                  <c:v>2.1916199999999999</c:v>
                </c:pt>
                <c:pt idx="50">
                  <c:v>2.236688</c:v>
                </c:pt>
                <c:pt idx="51">
                  <c:v>2.2808630000000001</c:v>
                </c:pt>
                <c:pt idx="52">
                  <c:v>2.3290540000000002</c:v>
                </c:pt>
                <c:pt idx="53">
                  <c:v>2.372671</c:v>
                </c:pt>
                <c:pt idx="54">
                  <c:v>2.4199139999999999</c:v>
                </c:pt>
                <c:pt idx="55">
                  <c:v>2.464591</c:v>
                </c:pt>
                <c:pt idx="56">
                  <c:v>2.5111089999999998</c:v>
                </c:pt>
                <c:pt idx="57">
                  <c:v>2.5562320000000001</c:v>
                </c:pt>
                <c:pt idx="58">
                  <c:v>2.6018569999999999</c:v>
                </c:pt>
                <c:pt idx="59">
                  <c:v>2.6473710000000001</c:v>
                </c:pt>
                <c:pt idx="60">
                  <c:v>2.691379</c:v>
                </c:pt>
                <c:pt idx="61">
                  <c:v>2.7391239999999999</c:v>
                </c:pt>
                <c:pt idx="62">
                  <c:v>2.7829640000000002</c:v>
                </c:pt>
                <c:pt idx="63">
                  <c:v>2.8296489999999999</c:v>
                </c:pt>
                <c:pt idx="64">
                  <c:v>2.874717</c:v>
                </c:pt>
                <c:pt idx="65">
                  <c:v>2.919394</c:v>
                </c:pt>
                <c:pt idx="66">
                  <c:v>2.9650189999999998</c:v>
                </c:pt>
                <c:pt idx="67">
                  <c:v>3.0099749999999998</c:v>
                </c:pt>
                <c:pt idx="68">
                  <c:v>3.058891</c:v>
                </c:pt>
                <c:pt idx="69">
                  <c:v>3.1466829999999999</c:v>
                </c:pt>
                <c:pt idx="70">
                  <c:v>3.150811</c:v>
                </c:pt>
                <c:pt idx="71">
                  <c:v>3.196269</c:v>
                </c:pt>
                <c:pt idx="72">
                  <c:v>3.2415600000000002</c:v>
                </c:pt>
                <c:pt idx="73">
                  <c:v>3.2880219999999998</c:v>
                </c:pt>
                <c:pt idx="74">
                  <c:v>3.3316949999999999</c:v>
                </c:pt>
                <c:pt idx="75">
                  <c:v>3.378212</c:v>
                </c:pt>
                <c:pt idx="76">
                  <c:v>3.4227780000000001</c:v>
                </c:pt>
                <c:pt idx="77">
                  <c:v>3.4686819999999998</c:v>
                </c:pt>
                <c:pt idx="78">
                  <c:v>3.5156459999999998</c:v>
                </c:pt>
                <c:pt idx="79">
                  <c:v>3.5613830000000002</c:v>
                </c:pt>
                <c:pt idx="80">
                  <c:v>3.6061160000000001</c:v>
                </c:pt>
                <c:pt idx="81">
                  <c:v>3.6527449999999999</c:v>
                </c:pt>
                <c:pt idx="82">
                  <c:v>3.6983139999999999</c:v>
                </c:pt>
                <c:pt idx="83">
                  <c:v>3.742991</c:v>
                </c:pt>
                <c:pt idx="84">
                  <c:v>3.7875009999999998</c:v>
                </c:pt>
                <c:pt idx="85">
                  <c:v>3.8359709999999998</c:v>
                </c:pt>
                <c:pt idx="86">
                  <c:v>3.8791980000000001</c:v>
                </c:pt>
                <c:pt idx="87">
                  <c:v>3.9245999999999999</c:v>
                </c:pt>
                <c:pt idx="88">
                  <c:v>3.9717310000000001</c:v>
                </c:pt>
                <c:pt idx="89">
                  <c:v>4.0173569999999996</c:v>
                </c:pt>
                <c:pt idx="90">
                  <c:v>4.0640970000000003</c:v>
                </c:pt>
                <c:pt idx="91">
                  <c:v>4.1092209999999998</c:v>
                </c:pt>
                <c:pt idx="92">
                  <c:v>4.212129</c:v>
                </c:pt>
                <c:pt idx="93">
                  <c:v>4.2014189999999996</c:v>
                </c:pt>
                <c:pt idx="94">
                  <c:v>4.2471009999999998</c:v>
                </c:pt>
                <c:pt idx="95">
                  <c:v>4.2932829999999997</c:v>
                </c:pt>
                <c:pt idx="96">
                  <c:v>4.3389090000000001</c:v>
                </c:pt>
                <c:pt idx="97">
                  <c:v>4.3847579999999997</c:v>
                </c:pt>
                <c:pt idx="98">
                  <c:v>4.4302710000000003</c:v>
                </c:pt>
                <c:pt idx="99">
                  <c:v>4.4757850000000001</c:v>
                </c:pt>
              </c:numCache>
            </c:numRef>
          </c:xVal>
          <c:yVal>
            <c:numRef>
              <c:f>'SiC-MOS'!$G$3:$G$102</c:f>
              <c:numCache>
                <c:formatCode>General</c:formatCode>
                <c:ptCount val="100"/>
                <c:pt idx="0">
                  <c:v>-1.199136E-2</c:v>
                </c:pt>
                <c:pt idx="1">
                  <c:v>0.47009709999999999</c:v>
                </c:pt>
                <c:pt idx="2">
                  <c:v>0.95435400000000004</c:v>
                </c:pt>
                <c:pt idx="3">
                  <c:v>1.4217630000000001</c:v>
                </c:pt>
                <c:pt idx="4">
                  <c:v>1.8759939999999999</c:v>
                </c:pt>
                <c:pt idx="5">
                  <c:v>2.3253870000000001</c:v>
                </c:pt>
                <c:pt idx="6">
                  <c:v>2.7641040000000001</c:v>
                </c:pt>
                <c:pt idx="7">
                  <c:v>3.192145</c:v>
                </c:pt>
                <c:pt idx="8">
                  <c:v>3.6280260000000002</c:v>
                </c:pt>
                <c:pt idx="9">
                  <c:v>4.0422219999999998</c:v>
                </c:pt>
                <c:pt idx="10">
                  <c:v>4.4580859999999998</c:v>
                </c:pt>
                <c:pt idx="11">
                  <c:v>4.8656090000000001</c:v>
                </c:pt>
                <c:pt idx="12">
                  <c:v>5.2577860000000003</c:v>
                </c:pt>
                <c:pt idx="13">
                  <c:v>5.6514639999999998</c:v>
                </c:pt>
                <c:pt idx="14">
                  <c:v>6.0463089999999999</c:v>
                </c:pt>
                <c:pt idx="15">
                  <c:v>6.4436559999999998</c:v>
                </c:pt>
                <c:pt idx="16">
                  <c:v>6.8296609999999998</c:v>
                </c:pt>
                <c:pt idx="17">
                  <c:v>7.2101600000000001</c:v>
                </c:pt>
                <c:pt idx="18">
                  <c:v>7.590827</c:v>
                </c:pt>
                <c:pt idx="19">
                  <c:v>7.9653210000000003</c:v>
                </c:pt>
                <c:pt idx="20">
                  <c:v>8.3448200000000003</c:v>
                </c:pt>
                <c:pt idx="21">
                  <c:v>8.7096389999999992</c:v>
                </c:pt>
                <c:pt idx="22">
                  <c:v>9.0888039999999997</c:v>
                </c:pt>
                <c:pt idx="23">
                  <c:v>9.5914110000000008</c:v>
                </c:pt>
                <c:pt idx="24">
                  <c:v>9.8207780000000007</c:v>
                </c:pt>
                <c:pt idx="25">
                  <c:v>10.1921</c:v>
                </c:pt>
                <c:pt idx="26">
                  <c:v>10.55242</c:v>
                </c:pt>
                <c:pt idx="27">
                  <c:v>10.9084</c:v>
                </c:pt>
                <c:pt idx="28">
                  <c:v>11.26971</c:v>
                </c:pt>
                <c:pt idx="29">
                  <c:v>11.62419</c:v>
                </c:pt>
                <c:pt idx="30">
                  <c:v>11.974</c:v>
                </c:pt>
                <c:pt idx="31">
                  <c:v>12.329140000000001</c:v>
                </c:pt>
                <c:pt idx="32">
                  <c:v>12.68328</c:v>
                </c:pt>
                <c:pt idx="33">
                  <c:v>13.029249999999999</c:v>
                </c:pt>
                <c:pt idx="34">
                  <c:v>13.373390000000001</c:v>
                </c:pt>
                <c:pt idx="35">
                  <c:v>13.714180000000001</c:v>
                </c:pt>
                <c:pt idx="36">
                  <c:v>14.057650000000001</c:v>
                </c:pt>
                <c:pt idx="37">
                  <c:v>14.39645</c:v>
                </c:pt>
                <c:pt idx="38">
                  <c:v>14.750260000000001</c:v>
                </c:pt>
                <c:pt idx="39">
                  <c:v>15.088889999999999</c:v>
                </c:pt>
                <c:pt idx="40">
                  <c:v>15.411670000000001</c:v>
                </c:pt>
                <c:pt idx="41">
                  <c:v>15.744630000000001</c:v>
                </c:pt>
                <c:pt idx="42">
                  <c:v>16.078589999999998</c:v>
                </c:pt>
                <c:pt idx="43">
                  <c:v>16.408370000000001</c:v>
                </c:pt>
                <c:pt idx="44">
                  <c:v>16.742329999999999</c:v>
                </c:pt>
                <c:pt idx="45">
                  <c:v>17.070789999999999</c:v>
                </c:pt>
                <c:pt idx="46">
                  <c:v>17.654299999999999</c:v>
                </c:pt>
                <c:pt idx="47">
                  <c:v>17.723189999999999</c:v>
                </c:pt>
                <c:pt idx="48">
                  <c:v>18.057649999999999</c:v>
                </c:pt>
                <c:pt idx="49">
                  <c:v>18.380099999999999</c:v>
                </c:pt>
                <c:pt idx="50">
                  <c:v>18.703379999999999</c:v>
                </c:pt>
                <c:pt idx="51">
                  <c:v>19.027159999999999</c:v>
                </c:pt>
                <c:pt idx="52">
                  <c:v>19.346779999999999</c:v>
                </c:pt>
                <c:pt idx="53">
                  <c:v>19.67306</c:v>
                </c:pt>
                <c:pt idx="54">
                  <c:v>19.98817</c:v>
                </c:pt>
                <c:pt idx="55">
                  <c:v>20.310459999999999</c:v>
                </c:pt>
                <c:pt idx="56">
                  <c:v>20.628070000000001</c:v>
                </c:pt>
                <c:pt idx="57">
                  <c:v>20.943840000000002</c:v>
                </c:pt>
                <c:pt idx="58">
                  <c:v>21.260950000000001</c:v>
                </c:pt>
                <c:pt idx="59">
                  <c:v>21.5839</c:v>
                </c:pt>
                <c:pt idx="60">
                  <c:v>21.899180000000001</c:v>
                </c:pt>
                <c:pt idx="61">
                  <c:v>22.216619999999999</c:v>
                </c:pt>
                <c:pt idx="62">
                  <c:v>22.536239999999999</c:v>
                </c:pt>
                <c:pt idx="63">
                  <c:v>22.851179999999999</c:v>
                </c:pt>
                <c:pt idx="64">
                  <c:v>23.163620000000002</c:v>
                </c:pt>
                <c:pt idx="65">
                  <c:v>23.47823</c:v>
                </c:pt>
                <c:pt idx="66">
                  <c:v>23.794499999999999</c:v>
                </c:pt>
                <c:pt idx="67">
                  <c:v>24.101600000000001</c:v>
                </c:pt>
                <c:pt idx="68">
                  <c:v>24.418050000000001</c:v>
                </c:pt>
                <c:pt idx="69">
                  <c:v>25.07779</c:v>
                </c:pt>
                <c:pt idx="70">
                  <c:v>25.036919999999999</c:v>
                </c:pt>
                <c:pt idx="71">
                  <c:v>25.351870000000002</c:v>
                </c:pt>
                <c:pt idx="72">
                  <c:v>25.660299999999999</c:v>
                </c:pt>
                <c:pt idx="73">
                  <c:v>25.980250000000002</c:v>
                </c:pt>
                <c:pt idx="74">
                  <c:v>26.287680000000002</c:v>
                </c:pt>
                <c:pt idx="75">
                  <c:v>26.60079</c:v>
                </c:pt>
                <c:pt idx="76">
                  <c:v>26.917069999999999</c:v>
                </c:pt>
                <c:pt idx="77">
                  <c:v>27.224499999999999</c:v>
                </c:pt>
                <c:pt idx="78">
                  <c:v>27.530609999999999</c:v>
                </c:pt>
                <c:pt idx="79">
                  <c:v>27.833200000000001</c:v>
                </c:pt>
                <c:pt idx="80">
                  <c:v>28.14714</c:v>
                </c:pt>
                <c:pt idx="81">
                  <c:v>28.455410000000001</c:v>
                </c:pt>
                <c:pt idx="82">
                  <c:v>28.770019999999999</c:v>
                </c:pt>
                <c:pt idx="83">
                  <c:v>29.08747</c:v>
                </c:pt>
                <c:pt idx="84">
                  <c:v>29.386389999999999</c:v>
                </c:pt>
                <c:pt idx="85">
                  <c:v>29.69717</c:v>
                </c:pt>
                <c:pt idx="86">
                  <c:v>30.00076</c:v>
                </c:pt>
                <c:pt idx="87">
                  <c:v>30.316379999999999</c:v>
                </c:pt>
                <c:pt idx="88">
                  <c:v>30.629480000000001</c:v>
                </c:pt>
                <c:pt idx="89">
                  <c:v>30.932580000000002</c:v>
                </c:pt>
                <c:pt idx="90">
                  <c:v>31.24052</c:v>
                </c:pt>
                <c:pt idx="91">
                  <c:v>31.54495</c:v>
                </c:pt>
                <c:pt idx="92">
                  <c:v>32.304780000000001</c:v>
                </c:pt>
                <c:pt idx="93">
                  <c:v>32.164160000000003</c:v>
                </c:pt>
                <c:pt idx="94">
                  <c:v>32.465260000000001</c:v>
                </c:pt>
                <c:pt idx="95">
                  <c:v>32.775689999999997</c:v>
                </c:pt>
                <c:pt idx="96">
                  <c:v>33.085129999999999</c:v>
                </c:pt>
                <c:pt idx="97">
                  <c:v>33.396239999999999</c:v>
                </c:pt>
                <c:pt idx="98">
                  <c:v>33.698500000000003</c:v>
                </c:pt>
                <c:pt idx="99">
                  <c:v>34.013770000000001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435-46C8-83A7-B6321B787553}"/>
            </c:ext>
          </c:extLst>
        </c:ser>
        <c:ser>
          <c:idx val="3"/>
          <c:order val="3"/>
          <c:tx>
            <c:v>15 V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'SiC-MOS'!$H$3:$H$102</c:f>
              <c:numCache>
                <c:formatCode>General</c:formatCode>
                <c:ptCount val="100"/>
                <c:pt idx="0">
                  <c:v>-1.461688E-3</c:v>
                </c:pt>
                <c:pt idx="1">
                  <c:v>4.2441800000000002E-2</c:v>
                </c:pt>
                <c:pt idx="2">
                  <c:v>8.5564150000000005E-2</c:v>
                </c:pt>
                <c:pt idx="3">
                  <c:v>0.13080639999999999</c:v>
                </c:pt>
                <c:pt idx="4">
                  <c:v>0.17147409999999999</c:v>
                </c:pt>
                <c:pt idx="5">
                  <c:v>0.21632580000000001</c:v>
                </c:pt>
                <c:pt idx="6">
                  <c:v>0.26112180000000002</c:v>
                </c:pt>
                <c:pt idx="7">
                  <c:v>0.3032958</c:v>
                </c:pt>
                <c:pt idx="8">
                  <c:v>0.34786859999999997</c:v>
                </c:pt>
                <c:pt idx="9">
                  <c:v>0.39177190000000001</c:v>
                </c:pt>
                <c:pt idx="10">
                  <c:v>0.43584260000000002</c:v>
                </c:pt>
                <c:pt idx="11">
                  <c:v>0.47991329999999999</c:v>
                </c:pt>
                <c:pt idx="12">
                  <c:v>0.52197579999999999</c:v>
                </c:pt>
                <c:pt idx="13">
                  <c:v>0.56705059999999996</c:v>
                </c:pt>
                <c:pt idx="14">
                  <c:v>0.61206970000000005</c:v>
                </c:pt>
                <c:pt idx="15">
                  <c:v>0.65586140000000004</c:v>
                </c:pt>
                <c:pt idx="16">
                  <c:v>0.69703130000000002</c:v>
                </c:pt>
                <c:pt idx="17">
                  <c:v>0.74227350000000003</c:v>
                </c:pt>
                <c:pt idx="18">
                  <c:v>0.78706940000000003</c:v>
                </c:pt>
                <c:pt idx="19">
                  <c:v>0.82857400000000003</c:v>
                </c:pt>
                <c:pt idx="20">
                  <c:v>0.87571290000000002</c:v>
                </c:pt>
                <c:pt idx="21">
                  <c:v>0.91777529999999996</c:v>
                </c:pt>
                <c:pt idx="22">
                  <c:v>0.96245970000000003</c:v>
                </c:pt>
                <c:pt idx="23">
                  <c:v>1.0208120000000001</c:v>
                </c:pt>
                <c:pt idx="24">
                  <c:v>1.050322</c:v>
                </c:pt>
                <c:pt idx="25">
                  <c:v>1.0943369999999999</c:v>
                </c:pt>
                <c:pt idx="26">
                  <c:v>1.1375150000000001</c:v>
                </c:pt>
                <c:pt idx="27">
                  <c:v>1.1823669999999999</c:v>
                </c:pt>
                <c:pt idx="28">
                  <c:v>1.2258800000000001</c:v>
                </c:pt>
                <c:pt idx="29">
                  <c:v>1.2696719999999999</c:v>
                </c:pt>
                <c:pt idx="30">
                  <c:v>1.3131839999999999</c:v>
                </c:pt>
                <c:pt idx="31">
                  <c:v>1.3563069999999999</c:v>
                </c:pt>
                <c:pt idx="32">
                  <c:v>1.4000429999999999</c:v>
                </c:pt>
                <c:pt idx="33">
                  <c:v>1.4447270000000001</c:v>
                </c:pt>
                <c:pt idx="34">
                  <c:v>1.4884630000000001</c:v>
                </c:pt>
                <c:pt idx="35">
                  <c:v>1.5298</c:v>
                </c:pt>
                <c:pt idx="36">
                  <c:v>1.5741499999999999</c:v>
                </c:pt>
                <c:pt idx="37">
                  <c:v>1.618946</c:v>
                </c:pt>
                <c:pt idx="38">
                  <c:v>1.6629050000000001</c:v>
                </c:pt>
                <c:pt idx="39">
                  <c:v>1.7036290000000001</c:v>
                </c:pt>
                <c:pt idx="40">
                  <c:v>1.747476</c:v>
                </c:pt>
                <c:pt idx="41">
                  <c:v>1.7908219999999999</c:v>
                </c:pt>
                <c:pt idx="42">
                  <c:v>1.8336650000000001</c:v>
                </c:pt>
                <c:pt idx="43">
                  <c:v>1.877178</c:v>
                </c:pt>
                <c:pt idx="44">
                  <c:v>1.920245</c:v>
                </c:pt>
                <c:pt idx="45">
                  <c:v>1.9624740000000001</c:v>
                </c:pt>
                <c:pt idx="46">
                  <c:v>2.0343819999999999</c:v>
                </c:pt>
                <c:pt idx="47">
                  <c:v>2.0484960000000001</c:v>
                </c:pt>
                <c:pt idx="48">
                  <c:v>2.0913949999999999</c:v>
                </c:pt>
                <c:pt idx="49">
                  <c:v>2.1346289999999999</c:v>
                </c:pt>
                <c:pt idx="50">
                  <c:v>2.1787559999999999</c:v>
                </c:pt>
                <c:pt idx="51">
                  <c:v>2.2232729999999998</c:v>
                </c:pt>
                <c:pt idx="52">
                  <c:v>2.2646099999999998</c:v>
                </c:pt>
                <c:pt idx="53">
                  <c:v>2.3097400000000001</c:v>
                </c:pt>
                <c:pt idx="54">
                  <c:v>2.3530859999999998</c:v>
                </c:pt>
                <c:pt idx="55">
                  <c:v>2.3993880000000001</c:v>
                </c:pt>
                <c:pt idx="56">
                  <c:v>2.4457460000000002</c:v>
                </c:pt>
                <c:pt idx="57">
                  <c:v>2.490151</c:v>
                </c:pt>
                <c:pt idx="58">
                  <c:v>2.5353379999999999</c:v>
                </c:pt>
                <c:pt idx="59">
                  <c:v>2.5790739999999999</c:v>
                </c:pt>
                <c:pt idx="60">
                  <c:v>2.6229209999999998</c:v>
                </c:pt>
                <c:pt idx="61">
                  <c:v>2.6682190000000001</c:v>
                </c:pt>
                <c:pt idx="62">
                  <c:v>2.713015</c:v>
                </c:pt>
                <c:pt idx="63">
                  <c:v>2.7580339999999999</c:v>
                </c:pt>
                <c:pt idx="64">
                  <c:v>2.80138</c:v>
                </c:pt>
                <c:pt idx="65">
                  <c:v>2.8477380000000001</c:v>
                </c:pt>
                <c:pt idx="66">
                  <c:v>2.8924780000000001</c:v>
                </c:pt>
                <c:pt idx="67">
                  <c:v>2.928404</c:v>
                </c:pt>
                <c:pt idx="68">
                  <c:v>2.9518900000000001</c:v>
                </c:pt>
                <c:pt idx="69">
                  <c:v>3.009684</c:v>
                </c:pt>
                <c:pt idx="70">
                  <c:v>2.9867560000000002</c:v>
                </c:pt>
                <c:pt idx="71">
                  <c:v>2.9997539999999998</c:v>
                </c:pt>
                <c:pt idx="72">
                  <c:v>3.0115799999999999</c:v>
                </c:pt>
                <c:pt idx="73">
                  <c:v>3.0207850000000001</c:v>
                </c:pt>
                <c:pt idx="74">
                  <c:v>3.0304920000000002</c:v>
                </c:pt>
                <c:pt idx="75">
                  <c:v>3.0379109999999998</c:v>
                </c:pt>
                <c:pt idx="76">
                  <c:v>3.047339</c:v>
                </c:pt>
                <c:pt idx="77">
                  <c:v>3.0540889999999998</c:v>
                </c:pt>
                <c:pt idx="78">
                  <c:v>3.0598350000000001</c:v>
                </c:pt>
                <c:pt idx="79">
                  <c:v>3.0685370000000001</c:v>
                </c:pt>
                <c:pt idx="80">
                  <c:v>3.0735579999999998</c:v>
                </c:pt>
                <c:pt idx="81">
                  <c:v>3.0797509999999999</c:v>
                </c:pt>
                <c:pt idx="82">
                  <c:v>3.0851060000000001</c:v>
                </c:pt>
                <c:pt idx="83">
                  <c:v>3.0911309999999999</c:v>
                </c:pt>
                <c:pt idx="84">
                  <c:v>3.0938080000000001</c:v>
                </c:pt>
                <c:pt idx="85">
                  <c:v>3.09816</c:v>
                </c:pt>
                <c:pt idx="86">
                  <c:v>3.104352</c:v>
                </c:pt>
                <c:pt idx="87">
                  <c:v>3.108257</c:v>
                </c:pt>
                <c:pt idx="88">
                  <c:v>3.1123289999999999</c:v>
                </c:pt>
                <c:pt idx="89">
                  <c:v>3.1164019999999999</c:v>
                </c:pt>
                <c:pt idx="90">
                  <c:v>3.1203069999999999</c:v>
                </c:pt>
                <c:pt idx="91">
                  <c:v>3.124825</c:v>
                </c:pt>
                <c:pt idx="92">
                  <c:v>3.163262</c:v>
                </c:pt>
                <c:pt idx="93">
                  <c:v>3.1300690000000002</c:v>
                </c:pt>
                <c:pt idx="94">
                  <c:v>3.1326909999999999</c:v>
                </c:pt>
                <c:pt idx="95">
                  <c:v>3.135313</c:v>
                </c:pt>
                <c:pt idx="96">
                  <c:v>3.1392739999999999</c:v>
                </c:pt>
                <c:pt idx="97">
                  <c:v>3.143904</c:v>
                </c:pt>
                <c:pt idx="98">
                  <c:v>3.147586</c:v>
                </c:pt>
                <c:pt idx="99">
                  <c:v>3.1497060000000001</c:v>
                </c:pt>
              </c:numCache>
            </c:numRef>
          </c:xVal>
          <c:yVal>
            <c:numRef>
              <c:f>'SiC-MOS'!$I$3:$I$102</c:f>
              <c:numCache>
                <c:formatCode>General</c:formatCode>
                <c:ptCount val="100"/>
                <c:pt idx="0">
                  <c:v>-1.232348E-2</c:v>
                </c:pt>
                <c:pt idx="1">
                  <c:v>0.74960020000000005</c:v>
                </c:pt>
                <c:pt idx="2">
                  <c:v>1.52437</c:v>
                </c:pt>
                <c:pt idx="3">
                  <c:v>2.2951359999999998</c:v>
                </c:pt>
                <c:pt idx="4">
                  <c:v>3.0537230000000002</c:v>
                </c:pt>
                <c:pt idx="5">
                  <c:v>3.804802</c:v>
                </c:pt>
                <c:pt idx="6">
                  <c:v>4.5525460000000004</c:v>
                </c:pt>
                <c:pt idx="7">
                  <c:v>5.2894439999999996</c:v>
                </c:pt>
                <c:pt idx="8">
                  <c:v>6.0380209999999996</c:v>
                </c:pt>
                <c:pt idx="9">
                  <c:v>6.7627410000000001</c:v>
                </c:pt>
                <c:pt idx="10">
                  <c:v>7.4953029999999998</c:v>
                </c:pt>
                <c:pt idx="11">
                  <c:v>8.2151840000000007</c:v>
                </c:pt>
                <c:pt idx="12">
                  <c:v>8.9352330000000002</c:v>
                </c:pt>
                <c:pt idx="13">
                  <c:v>9.6467729999999996</c:v>
                </c:pt>
                <c:pt idx="14">
                  <c:v>10.357480000000001</c:v>
                </c:pt>
                <c:pt idx="15">
                  <c:v>11.065849999999999</c:v>
                </c:pt>
                <c:pt idx="16">
                  <c:v>11.763540000000001</c:v>
                </c:pt>
                <c:pt idx="17">
                  <c:v>12.45757</c:v>
                </c:pt>
                <c:pt idx="18">
                  <c:v>13.15025</c:v>
                </c:pt>
                <c:pt idx="19">
                  <c:v>13.83527</c:v>
                </c:pt>
                <c:pt idx="20">
                  <c:v>14.531129999999999</c:v>
                </c:pt>
                <c:pt idx="21">
                  <c:v>15.20613</c:v>
                </c:pt>
                <c:pt idx="22">
                  <c:v>15.881970000000001</c:v>
                </c:pt>
                <c:pt idx="23">
                  <c:v>16.816230000000001</c:v>
                </c:pt>
                <c:pt idx="24">
                  <c:v>17.223469999999999</c:v>
                </c:pt>
                <c:pt idx="25">
                  <c:v>17.89564</c:v>
                </c:pt>
                <c:pt idx="26">
                  <c:v>18.562470000000001</c:v>
                </c:pt>
                <c:pt idx="27">
                  <c:v>19.210940000000001</c:v>
                </c:pt>
                <c:pt idx="28">
                  <c:v>19.869759999999999</c:v>
                </c:pt>
                <c:pt idx="29">
                  <c:v>20.517569999999999</c:v>
                </c:pt>
                <c:pt idx="30">
                  <c:v>21.164380000000001</c:v>
                </c:pt>
                <c:pt idx="31">
                  <c:v>21.818529999999999</c:v>
                </c:pt>
                <c:pt idx="32">
                  <c:v>22.469180000000001</c:v>
                </c:pt>
                <c:pt idx="33">
                  <c:v>23.100470000000001</c:v>
                </c:pt>
                <c:pt idx="34">
                  <c:v>23.733599999999999</c:v>
                </c:pt>
                <c:pt idx="35">
                  <c:v>24.368230000000001</c:v>
                </c:pt>
                <c:pt idx="36">
                  <c:v>24.98902</c:v>
                </c:pt>
                <c:pt idx="37">
                  <c:v>25.617139999999999</c:v>
                </c:pt>
                <c:pt idx="38">
                  <c:v>26.236419999999999</c:v>
                </c:pt>
                <c:pt idx="39">
                  <c:v>26.85737</c:v>
                </c:pt>
                <c:pt idx="40">
                  <c:v>27.45196</c:v>
                </c:pt>
                <c:pt idx="41">
                  <c:v>28.066739999999999</c:v>
                </c:pt>
                <c:pt idx="42">
                  <c:v>28.67952</c:v>
                </c:pt>
                <c:pt idx="43">
                  <c:v>29.271100000000001</c:v>
                </c:pt>
                <c:pt idx="44">
                  <c:v>29.886379999999999</c:v>
                </c:pt>
                <c:pt idx="45">
                  <c:v>30.479140000000001</c:v>
                </c:pt>
                <c:pt idx="46">
                  <c:v>31.56522</c:v>
                </c:pt>
                <c:pt idx="47">
                  <c:v>31.676659999999998</c:v>
                </c:pt>
                <c:pt idx="48">
                  <c:v>32.277259999999998</c:v>
                </c:pt>
                <c:pt idx="49">
                  <c:v>32.876690000000004</c:v>
                </c:pt>
                <c:pt idx="50">
                  <c:v>33.468110000000003</c:v>
                </c:pt>
                <c:pt idx="51">
                  <c:v>34.074379999999998</c:v>
                </c:pt>
                <c:pt idx="52">
                  <c:v>34.68515</c:v>
                </c:pt>
                <c:pt idx="53">
                  <c:v>35.294089999999997</c:v>
                </c:pt>
                <c:pt idx="54">
                  <c:v>35.90269</c:v>
                </c:pt>
                <c:pt idx="55">
                  <c:v>36.511299999999999</c:v>
                </c:pt>
                <c:pt idx="56">
                  <c:v>37.130749999999999</c:v>
                </c:pt>
                <c:pt idx="57">
                  <c:v>37.730840000000001</c:v>
                </c:pt>
                <c:pt idx="58">
                  <c:v>38.345289999999999</c:v>
                </c:pt>
                <c:pt idx="59">
                  <c:v>38.9589</c:v>
                </c:pt>
                <c:pt idx="60">
                  <c:v>39.550319999999999</c:v>
                </c:pt>
                <c:pt idx="61">
                  <c:v>40.160260000000001</c:v>
                </c:pt>
                <c:pt idx="62">
                  <c:v>40.770530000000001</c:v>
                </c:pt>
                <c:pt idx="63">
                  <c:v>41.394480000000001</c:v>
                </c:pt>
                <c:pt idx="64">
                  <c:v>41.985900000000001</c:v>
                </c:pt>
                <c:pt idx="65">
                  <c:v>42.574489999999997</c:v>
                </c:pt>
                <c:pt idx="66">
                  <c:v>43.178420000000003</c:v>
                </c:pt>
                <c:pt idx="67">
                  <c:v>43.643219999999999</c:v>
                </c:pt>
                <c:pt idx="68">
                  <c:v>43.9617</c:v>
                </c:pt>
                <c:pt idx="69">
                  <c:v>44.887949999999996</c:v>
                </c:pt>
                <c:pt idx="70">
                  <c:v>44.427160000000001</c:v>
                </c:pt>
                <c:pt idx="71">
                  <c:v>44.616520000000001</c:v>
                </c:pt>
                <c:pt idx="72">
                  <c:v>44.777509999999999</c:v>
                </c:pt>
                <c:pt idx="73">
                  <c:v>44.936839999999997</c:v>
                </c:pt>
                <c:pt idx="74">
                  <c:v>45.054450000000003</c:v>
                </c:pt>
                <c:pt idx="75">
                  <c:v>45.172409999999999</c:v>
                </c:pt>
                <c:pt idx="76">
                  <c:v>45.292520000000003</c:v>
                </c:pt>
                <c:pt idx="77">
                  <c:v>45.390790000000003</c:v>
                </c:pt>
                <c:pt idx="78">
                  <c:v>45.486879999999999</c:v>
                </c:pt>
                <c:pt idx="79">
                  <c:v>45.573970000000003</c:v>
                </c:pt>
                <c:pt idx="80">
                  <c:v>45.654879999999999</c:v>
                </c:pt>
                <c:pt idx="81">
                  <c:v>45.729959999999998</c:v>
                </c:pt>
                <c:pt idx="82">
                  <c:v>45.810369999999999</c:v>
                </c:pt>
                <c:pt idx="83">
                  <c:v>45.881279999999997</c:v>
                </c:pt>
                <c:pt idx="84">
                  <c:v>45.950009999999999</c:v>
                </c:pt>
                <c:pt idx="85">
                  <c:v>46.012569999999997</c:v>
                </c:pt>
                <c:pt idx="86">
                  <c:v>46.074629999999999</c:v>
                </c:pt>
                <c:pt idx="87">
                  <c:v>46.133360000000003</c:v>
                </c:pt>
                <c:pt idx="88">
                  <c:v>46.19209</c:v>
                </c:pt>
                <c:pt idx="89">
                  <c:v>46.242130000000003</c:v>
                </c:pt>
                <c:pt idx="90">
                  <c:v>46.297020000000003</c:v>
                </c:pt>
                <c:pt idx="91">
                  <c:v>46.347740000000002</c:v>
                </c:pt>
                <c:pt idx="92">
                  <c:v>47.028419999999997</c:v>
                </c:pt>
                <c:pt idx="93">
                  <c:v>46.455179999999999</c:v>
                </c:pt>
                <c:pt idx="94">
                  <c:v>46.489539999999998</c:v>
                </c:pt>
                <c:pt idx="95">
                  <c:v>46.535420000000002</c:v>
                </c:pt>
                <c:pt idx="96">
                  <c:v>46.582470000000001</c:v>
                </c:pt>
                <c:pt idx="97">
                  <c:v>46.62068</c:v>
                </c:pt>
                <c:pt idx="98">
                  <c:v>46.656379999999999</c:v>
                </c:pt>
                <c:pt idx="99">
                  <c:v>46.690910000000002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435-46C8-83A7-B6321B787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2265647"/>
        <c:axId val="1402274767"/>
      </c:scatterChart>
      <c:valAx>
        <c:axId val="140226564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Vds</a:t>
                </a:r>
                <a:r>
                  <a:rPr lang="en-US" altLang="ja-JP" baseline="0"/>
                  <a:t> (V)</a:t>
                </a:r>
                <a:endParaRPr lang="ja-JP" altLang="en-US"/>
              </a:p>
            </c:rich>
          </c:tx>
          <c:layout>
            <c:manualLayout>
              <c:xMode val="edge"/>
              <c:yMode val="edge"/>
              <c:x val="0.49032423775752471"/>
              <c:y val="0.909267373022905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02274767"/>
        <c:crossesAt val="-5"/>
        <c:crossBetween val="midCat"/>
      </c:valAx>
      <c:valAx>
        <c:axId val="1402274767"/>
        <c:scaling>
          <c:orientation val="minMax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Id</a:t>
                </a:r>
                <a:r>
                  <a:rPr lang="en-US" altLang="ja-JP" baseline="0"/>
                  <a:t> (A)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02265647"/>
        <c:crossesAt val="0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7.5908450773795363E-2"/>
          <c:y val="0.14684866462661106"/>
          <c:w val="0.51982340847547115"/>
          <c:h val="0.158270223297554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245005</xdr:colOff>
      <xdr:row>0</xdr:row>
      <xdr:rowOff>146243</xdr:rowOff>
    </xdr:from>
    <xdr:to>
      <xdr:col>20</xdr:col>
      <xdr:colOff>206613</xdr:colOff>
      <xdr:row>12</xdr:row>
      <xdr:rowOff>126146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7B4E02C1-EA83-CC60-3D29-CEEF8EF48B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192728</xdr:colOff>
      <xdr:row>13</xdr:row>
      <xdr:rowOff>9804</xdr:rowOff>
    </xdr:from>
    <xdr:to>
      <xdr:col>20</xdr:col>
      <xdr:colOff>163763</xdr:colOff>
      <xdr:row>24</xdr:row>
      <xdr:rowOff>179583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898218B8-23D1-9232-3E75-29676CA483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144860</xdr:colOff>
      <xdr:row>26</xdr:row>
      <xdr:rowOff>172554</xdr:rowOff>
    </xdr:from>
    <xdr:to>
      <xdr:col>20</xdr:col>
      <xdr:colOff>89728</xdr:colOff>
      <xdr:row>38</xdr:row>
      <xdr:rowOff>55216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AFBC76E8-E4A7-5296-918A-1F895D13C0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92951</xdr:colOff>
      <xdr:row>0</xdr:row>
      <xdr:rowOff>0</xdr:rowOff>
    </xdr:from>
    <xdr:to>
      <xdr:col>20</xdr:col>
      <xdr:colOff>26690</xdr:colOff>
      <xdr:row>11</xdr:row>
      <xdr:rowOff>212403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2F09A535-852F-CCC7-8A00-6D4812ED8E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231551</xdr:colOff>
      <xdr:row>13</xdr:row>
      <xdr:rowOff>97878</xdr:rowOff>
    </xdr:from>
    <xdr:to>
      <xdr:col>20</xdr:col>
      <xdr:colOff>196914</xdr:colOff>
      <xdr:row>25</xdr:row>
      <xdr:rowOff>70169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97DE1E54-F4AE-4031-DC0E-8C46DB800B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167410</xdr:colOff>
      <xdr:row>27</xdr:row>
      <xdr:rowOff>61961</xdr:rowOff>
    </xdr:from>
    <xdr:to>
      <xdr:col>20</xdr:col>
      <xdr:colOff>132773</xdr:colOff>
      <xdr:row>39</xdr:row>
      <xdr:rowOff>34251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CABFE5B6-DE14-BCD2-941B-EC15F42E90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291969</xdr:colOff>
      <xdr:row>0</xdr:row>
      <xdr:rowOff>121365</xdr:rowOff>
    </xdr:from>
    <xdr:to>
      <xdr:col>22</xdr:col>
      <xdr:colOff>226072</xdr:colOff>
      <xdr:row>12</xdr:row>
      <xdr:rowOff>72872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BEDEED1B-2FC7-F998-E2BA-8626F31342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231641</xdr:colOff>
      <xdr:row>12</xdr:row>
      <xdr:rowOff>77275</xdr:rowOff>
    </xdr:from>
    <xdr:to>
      <xdr:col>22</xdr:col>
      <xdr:colOff>170824</xdr:colOff>
      <xdr:row>24</xdr:row>
      <xdr:rowOff>30053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88610454-41A9-6E69-FDBE-5BFF004A24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89436</xdr:colOff>
      <xdr:row>24</xdr:row>
      <xdr:rowOff>194354</xdr:rowOff>
    </xdr:from>
    <xdr:to>
      <xdr:col>22</xdr:col>
      <xdr:colOff>28619</xdr:colOff>
      <xdr:row>36</xdr:row>
      <xdr:rowOff>147131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F3CC0EC2-0D11-41D1-BA0E-162E2E783B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50477-F6D3-4768-9784-0A39A0EFB18B}">
  <dimension ref="B1:M102"/>
  <sheetViews>
    <sheetView topLeftCell="A58" zoomScale="92" zoomScaleNormal="85" workbookViewId="0">
      <selection activeCell="V10" sqref="V10"/>
    </sheetView>
  </sheetViews>
  <sheetFormatPr defaultRowHeight="18" x14ac:dyDescent="0.55000000000000004"/>
  <cols>
    <col min="1" max="1" width="3" customWidth="1"/>
    <col min="2" max="2" width="8.75" bestFit="1" customWidth="1"/>
    <col min="3" max="6" width="8.83203125" bestFit="1" customWidth="1"/>
    <col min="7" max="7" width="9.58203125" bestFit="1" customWidth="1"/>
    <col min="8" max="8" width="2.75" customWidth="1"/>
    <col min="9" max="9" width="8.75" bestFit="1" customWidth="1"/>
    <col min="10" max="10" width="9.75" bestFit="1" customWidth="1"/>
    <col min="11" max="11" width="2.08203125" customWidth="1"/>
    <col min="12" max="12" width="8.75" bestFit="1" customWidth="1"/>
    <col min="13" max="13" width="9.75" bestFit="1" customWidth="1"/>
  </cols>
  <sheetData>
    <row r="1" spans="2:13" x14ac:dyDescent="0.55000000000000004">
      <c r="B1" t="s">
        <v>0</v>
      </c>
      <c r="D1" t="s">
        <v>3</v>
      </c>
      <c r="F1" t="s">
        <v>4</v>
      </c>
      <c r="I1" t="s">
        <v>5</v>
      </c>
      <c r="L1" t="s">
        <v>7</v>
      </c>
    </row>
    <row r="2" spans="2:13" x14ac:dyDescent="0.55000000000000004">
      <c r="B2" t="s">
        <v>1</v>
      </c>
      <c r="C2" t="s">
        <v>2</v>
      </c>
      <c r="D2" t="s">
        <v>1</v>
      </c>
      <c r="E2" t="s">
        <v>2</v>
      </c>
      <c r="F2" t="s">
        <v>1</v>
      </c>
      <c r="G2" t="s">
        <v>2</v>
      </c>
      <c r="I2" t="s">
        <v>6</v>
      </c>
      <c r="J2" t="s">
        <v>2</v>
      </c>
      <c r="L2" t="s">
        <v>1</v>
      </c>
      <c r="M2" t="s">
        <v>2</v>
      </c>
    </row>
    <row r="3" spans="2:13" x14ac:dyDescent="0.55000000000000004">
      <c r="B3" s="5">
        <v>1.560958E-4</v>
      </c>
      <c r="C3">
        <v>-5.6501839999999999E-3</v>
      </c>
      <c r="D3">
        <v>1.2161629999999999E-3</v>
      </c>
      <c r="E3">
        <v>-1.0822689999999999E-2</v>
      </c>
      <c r="F3">
        <v>-1.5730220000000001E-3</v>
      </c>
      <c r="G3" s="4">
        <v>-9.8092399999999999E-4</v>
      </c>
      <c r="I3" s="5">
        <v>7.8916550000000005E-4</v>
      </c>
      <c r="J3" s="5">
        <v>1.7054900000000001E-4</v>
      </c>
      <c r="L3">
        <v>8.6413690000000001E-2</v>
      </c>
      <c r="M3" s="4">
        <v>-8.1146890000000003E-8</v>
      </c>
    </row>
    <row r="4" spans="2:13" x14ac:dyDescent="0.55000000000000004">
      <c r="B4">
        <v>7.1732009999999999E-2</v>
      </c>
      <c r="C4">
        <v>0.22691420000000001</v>
      </c>
      <c r="D4">
        <v>9.0692540000000002E-2</v>
      </c>
      <c r="E4">
        <v>0.32182480000000002</v>
      </c>
      <c r="F4">
        <v>9.0969149999999999E-2</v>
      </c>
      <c r="G4">
        <v>0.32531549999999998</v>
      </c>
      <c r="I4">
        <v>4.178047E-2</v>
      </c>
      <c r="J4" s="4">
        <v>-7.865909E-6</v>
      </c>
      <c r="L4">
        <v>9.8929829999999992</v>
      </c>
      <c r="M4" s="5">
        <v>2.2455140000000001E-7</v>
      </c>
    </row>
    <row r="5" spans="2:13" x14ac:dyDescent="0.55000000000000004">
      <c r="B5">
        <v>0.1602674</v>
      </c>
      <c r="C5">
        <v>0.53738929999999996</v>
      </c>
      <c r="D5">
        <v>0.1835717</v>
      </c>
      <c r="E5">
        <v>0.64496339999999996</v>
      </c>
      <c r="F5">
        <v>0.181503</v>
      </c>
      <c r="G5">
        <v>0.66245509999999996</v>
      </c>
      <c r="I5">
        <v>8.7790489999999999E-2</v>
      </c>
      <c r="J5" s="4">
        <v>-2.3519829999999998E-6</v>
      </c>
      <c r="L5">
        <v>19.888249999999999</v>
      </c>
      <c r="M5" s="5">
        <v>5.8185730000000002E-8</v>
      </c>
    </row>
    <row r="6" spans="2:13" x14ac:dyDescent="0.55000000000000004">
      <c r="B6">
        <v>0.24880269999999999</v>
      </c>
      <c r="C6">
        <v>0.82250599999999996</v>
      </c>
      <c r="D6">
        <v>0.2752793</v>
      </c>
      <c r="E6">
        <v>0.97377400000000003</v>
      </c>
      <c r="F6">
        <v>0.27538380000000001</v>
      </c>
      <c r="G6">
        <v>0.99358919999999995</v>
      </c>
      <c r="I6">
        <v>0.1361203</v>
      </c>
      <c r="J6" s="4">
        <v>-1.2985979999999999E-5</v>
      </c>
      <c r="L6">
        <v>29.9404</v>
      </c>
      <c r="M6" s="5">
        <v>3.1002660000000001E-8</v>
      </c>
    </row>
    <row r="7" spans="2:13" x14ac:dyDescent="0.55000000000000004">
      <c r="B7">
        <v>0.32763100000000001</v>
      </c>
      <c r="C7">
        <v>1.0981129999999999</v>
      </c>
      <c r="D7">
        <v>0.36648500000000001</v>
      </c>
      <c r="E7">
        <v>1.3052539999999999</v>
      </c>
      <c r="F7">
        <v>0.36535990000000002</v>
      </c>
      <c r="G7">
        <v>1.330395</v>
      </c>
      <c r="I7">
        <v>0.1828313</v>
      </c>
      <c r="J7" s="4">
        <v>-1.6136800000000001E-5</v>
      </c>
      <c r="L7">
        <v>39.996099999999998</v>
      </c>
      <c r="M7" s="5">
        <v>1.5786859999999999E-8</v>
      </c>
    </row>
    <row r="8" spans="2:13" x14ac:dyDescent="0.55000000000000004">
      <c r="B8">
        <v>0.41973670000000002</v>
      </c>
      <c r="C8">
        <v>1.399413</v>
      </c>
      <c r="D8">
        <v>0.4582484</v>
      </c>
      <c r="E8">
        <v>1.6278919999999999</v>
      </c>
      <c r="F8">
        <v>0.4597985</v>
      </c>
      <c r="G8">
        <v>1.6550229999999999</v>
      </c>
      <c r="I8">
        <v>0.22905590000000001</v>
      </c>
      <c r="J8" s="4">
        <v>-1.8893759999999999E-5</v>
      </c>
      <c r="L8">
        <v>49.993580000000001</v>
      </c>
      <c r="M8" s="5">
        <v>6.1719639999999999E-9</v>
      </c>
    </row>
    <row r="9" spans="2:13" x14ac:dyDescent="0.55000000000000004">
      <c r="B9">
        <v>0.50777000000000005</v>
      </c>
      <c r="C9">
        <v>1.703381</v>
      </c>
      <c r="D9">
        <v>0.54995609999999995</v>
      </c>
      <c r="E9">
        <v>1.9488620000000001</v>
      </c>
      <c r="F9">
        <v>0.55077869999999995</v>
      </c>
      <c r="G9">
        <v>1.987158</v>
      </c>
      <c r="I9">
        <v>0.27474159999999997</v>
      </c>
      <c r="J9" s="4">
        <v>-1.9681469999999999E-5</v>
      </c>
      <c r="L9">
        <v>60.043030000000002</v>
      </c>
      <c r="M9" s="4">
        <v>-3.4375950000000001E-10</v>
      </c>
    </row>
    <row r="10" spans="2:13" x14ac:dyDescent="0.55000000000000004">
      <c r="B10">
        <v>0.59496649999999995</v>
      </c>
      <c r="C10">
        <v>1.9819910000000001</v>
      </c>
      <c r="D10">
        <v>0.64149639999999997</v>
      </c>
      <c r="E10">
        <v>2.2738350000000001</v>
      </c>
      <c r="F10">
        <v>0.64348799999999995</v>
      </c>
      <c r="G10">
        <v>2.3141219999999998</v>
      </c>
      <c r="I10">
        <v>0.3215075</v>
      </c>
      <c r="J10" s="4">
        <v>-1.219828E-5</v>
      </c>
      <c r="L10">
        <v>70.08999</v>
      </c>
      <c r="M10" s="4">
        <v>-5.9446679999999997E-9</v>
      </c>
    </row>
    <row r="11" spans="2:13" x14ac:dyDescent="0.55000000000000004">
      <c r="B11">
        <v>0.68584489999999998</v>
      </c>
      <c r="C11">
        <v>2.277952</v>
      </c>
      <c r="D11">
        <v>0.73242309999999999</v>
      </c>
      <c r="E11">
        <v>2.5963069999999999</v>
      </c>
      <c r="F11">
        <v>0.73285060000000002</v>
      </c>
      <c r="G11">
        <v>2.6465909999999999</v>
      </c>
      <c r="I11">
        <v>0.3678942</v>
      </c>
      <c r="J11" s="4">
        <v>-4.3212420000000001E-6</v>
      </c>
      <c r="L11">
        <v>80.096320000000006</v>
      </c>
      <c r="M11" s="4">
        <v>-9.6225980000000004E-9</v>
      </c>
    </row>
    <row r="12" spans="2:13" x14ac:dyDescent="0.55000000000000004">
      <c r="B12">
        <v>0.78252520000000003</v>
      </c>
      <c r="C12">
        <v>2.6122839999999998</v>
      </c>
      <c r="D12">
        <v>0.82334980000000002</v>
      </c>
      <c r="E12">
        <v>2.9217810000000002</v>
      </c>
      <c r="F12">
        <v>0.82701020000000003</v>
      </c>
      <c r="G12">
        <v>2.9672149999999999</v>
      </c>
      <c r="I12">
        <v>0.42312860000000002</v>
      </c>
      <c r="J12" s="4">
        <v>-4.7150940000000002E-6</v>
      </c>
      <c r="L12">
        <v>90.150409999999994</v>
      </c>
      <c r="M12" s="4">
        <v>-1.311383E-8</v>
      </c>
    </row>
    <row r="13" spans="2:13" x14ac:dyDescent="0.55000000000000004">
      <c r="B13">
        <v>0.88255289999999997</v>
      </c>
      <c r="C13">
        <v>2.9369399999999999</v>
      </c>
      <c r="D13">
        <v>0.91383029999999998</v>
      </c>
      <c r="E13">
        <v>3.2460870000000002</v>
      </c>
      <c r="F13">
        <v>0.91776720000000001</v>
      </c>
      <c r="G13">
        <v>3.2993510000000001</v>
      </c>
      <c r="I13">
        <v>0.46099420000000002</v>
      </c>
      <c r="J13" s="4">
        <v>-1.5349090000000001E-5</v>
      </c>
      <c r="L13">
        <v>100.1992</v>
      </c>
      <c r="M13" s="4">
        <v>-1.610098E-8</v>
      </c>
    </row>
    <row r="14" spans="2:13" x14ac:dyDescent="0.55000000000000004">
      <c r="B14">
        <v>0.97036299999999998</v>
      </c>
      <c r="C14">
        <v>3.227395</v>
      </c>
      <c r="D14">
        <v>1.0050920000000001</v>
      </c>
      <c r="E14">
        <v>3.5638869999999998</v>
      </c>
      <c r="F14">
        <v>1.0086919999999999</v>
      </c>
      <c r="G14">
        <v>3.624479</v>
      </c>
      <c r="I14">
        <v>0.50754310000000002</v>
      </c>
      <c r="J14" s="4">
        <v>-1.8893759999999999E-5</v>
      </c>
      <c r="L14">
        <v>110.19459999999999</v>
      </c>
      <c r="M14" s="4">
        <v>-1.8322679999999999E-8</v>
      </c>
    </row>
    <row r="15" spans="2:13" x14ac:dyDescent="0.55000000000000004">
      <c r="B15">
        <v>1.060405</v>
      </c>
      <c r="C15">
        <v>3.5100099999999999</v>
      </c>
      <c r="D15">
        <v>1.0988629999999999</v>
      </c>
      <c r="E15">
        <v>3.8740130000000002</v>
      </c>
      <c r="F15">
        <v>1.1026279999999999</v>
      </c>
      <c r="G15">
        <v>3.9399320000000002</v>
      </c>
      <c r="I15">
        <v>0.55565600000000004</v>
      </c>
      <c r="J15" s="4">
        <v>-7.4720569999999999E-6</v>
      </c>
      <c r="L15">
        <v>120.25020000000001</v>
      </c>
      <c r="M15" s="4">
        <v>-2.0973769999999999E-8</v>
      </c>
    </row>
    <row r="16" spans="2:13" x14ac:dyDescent="0.55000000000000004">
      <c r="B16">
        <v>1.150725</v>
      </c>
      <c r="C16">
        <v>3.800465</v>
      </c>
      <c r="D16">
        <v>1.1882839999999999</v>
      </c>
      <c r="E16">
        <v>4.1941490000000003</v>
      </c>
      <c r="F16">
        <v>1.194836</v>
      </c>
      <c r="G16">
        <v>4.2653949999999998</v>
      </c>
      <c r="I16">
        <v>0.60214999999999996</v>
      </c>
      <c r="J16" s="4">
        <v>-1.731835E-5</v>
      </c>
      <c r="L16">
        <v>130.29669999999999</v>
      </c>
      <c r="M16" s="4">
        <v>-2.214996E-8</v>
      </c>
    </row>
    <row r="17" spans="2:13" x14ac:dyDescent="0.55000000000000004">
      <c r="B17">
        <v>1.2408779999999999</v>
      </c>
      <c r="C17">
        <v>4.0975929999999998</v>
      </c>
      <c r="D17">
        <v>1.27843</v>
      </c>
      <c r="E17">
        <v>4.5037750000000001</v>
      </c>
      <c r="F17">
        <v>1.286262</v>
      </c>
      <c r="G17">
        <v>4.5823489999999998</v>
      </c>
      <c r="I17">
        <v>0.64880850000000001</v>
      </c>
      <c r="J17" s="4">
        <v>-1.9681469999999999E-5</v>
      </c>
      <c r="L17">
        <v>140.31299999999999</v>
      </c>
      <c r="M17" s="4">
        <v>-2.4054270000000002E-8</v>
      </c>
    </row>
    <row r="18" spans="2:13" x14ac:dyDescent="0.55000000000000004">
      <c r="B18">
        <v>1.333375</v>
      </c>
      <c r="C18">
        <v>4.3770379999999998</v>
      </c>
      <c r="D18">
        <v>1.3699140000000001</v>
      </c>
      <c r="E18">
        <v>4.8169040000000001</v>
      </c>
      <c r="F18">
        <v>1.379418</v>
      </c>
      <c r="G18">
        <v>4.8978020000000004</v>
      </c>
      <c r="I18">
        <v>0.69465639999999995</v>
      </c>
      <c r="J18" s="4">
        <v>-1.771221E-5</v>
      </c>
      <c r="L18">
        <v>150.35380000000001</v>
      </c>
      <c r="M18" s="4">
        <v>-2.575321E-8</v>
      </c>
    </row>
    <row r="19" spans="2:13" x14ac:dyDescent="0.55000000000000004">
      <c r="B19">
        <v>1.4206829999999999</v>
      </c>
      <c r="C19">
        <v>4.6623210000000004</v>
      </c>
      <c r="D19">
        <v>1.463295</v>
      </c>
      <c r="E19">
        <v>5.1255290000000002</v>
      </c>
      <c r="F19">
        <v>1.4695609999999999</v>
      </c>
      <c r="G19">
        <v>5.2209289999999999</v>
      </c>
      <c r="I19">
        <v>0.74169160000000001</v>
      </c>
      <c r="J19" s="4">
        <v>-5.5027979999999996E-6</v>
      </c>
      <c r="L19">
        <v>160.3982</v>
      </c>
      <c r="M19" s="4">
        <v>-2.6668030000000001E-8</v>
      </c>
    </row>
    <row r="20" spans="2:13" x14ac:dyDescent="0.55000000000000004">
      <c r="B20">
        <v>1.51078</v>
      </c>
      <c r="C20">
        <v>4.9269170000000004</v>
      </c>
      <c r="D20">
        <v>1.5529949999999999</v>
      </c>
      <c r="E20">
        <v>5.43065</v>
      </c>
      <c r="F20">
        <v>1.562438</v>
      </c>
      <c r="G20">
        <v>5.5332129999999999</v>
      </c>
      <c r="I20">
        <v>0.78791619999999996</v>
      </c>
      <c r="J20" s="4">
        <v>-1.2985979999999999E-5</v>
      </c>
      <c r="L20">
        <v>170.4075</v>
      </c>
      <c r="M20" s="4">
        <v>-2.8292289999999999E-8</v>
      </c>
    </row>
    <row r="21" spans="2:13" x14ac:dyDescent="0.55000000000000004">
      <c r="B21">
        <v>1.5989249999999999</v>
      </c>
      <c r="C21">
        <v>5.2013559999999996</v>
      </c>
      <c r="D21">
        <v>1.6453720000000001</v>
      </c>
      <c r="E21">
        <v>5.7347710000000003</v>
      </c>
      <c r="F21">
        <v>1.654701</v>
      </c>
      <c r="G21">
        <v>5.8444960000000004</v>
      </c>
      <c r="I21">
        <v>0.84778790000000004</v>
      </c>
      <c r="J21" s="4">
        <v>-1.810606E-5</v>
      </c>
      <c r="L21">
        <v>180.44980000000001</v>
      </c>
      <c r="M21" s="4">
        <v>-2.9431139999999999E-8</v>
      </c>
    </row>
    <row r="22" spans="2:13" x14ac:dyDescent="0.55000000000000004">
      <c r="B22">
        <v>1.704866</v>
      </c>
      <c r="C22">
        <v>5.526179</v>
      </c>
      <c r="D22">
        <v>1.7365219999999999</v>
      </c>
      <c r="E22">
        <v>6.0420610000000003</v>
      </c>
      <c r="F22">
        <v>1.746964</v>
      </c>
      <c r="G22">
        <v>6.1572800000000001</v>
      </c>
      <c r="I22">
        <v>0.88047500000000001</v>
      </c>
      <c r="J22" s="4">
        <v>-1.9287609999999999E-5</v>
      </c>
      <c r="L22">
        <v>190.5153</v>
      </c>
      <c r="M22" s="4">
        <v>-2.9916560000000001E-8</v>
      </c>
    </row>
    <row r="23" spans="2:13" x14ac:dyDescent="0.55000000000000004">
      <c r="B23">
        <v>1.7940149999999999</v>
      </c>
      <c r="C23">
        <v>5.8067909999999996</v>
      </c>
      <c r="D23">
        <v>1.824883</v>
      </c>
      <c r="E23">
        <v>6.3506859999999996</v>
      </c>
      <c r="F23">
        <v>1.8361590000000001</v>
      </c>
      <c r="G23">
        <v>6.4705640000000004</v>
      </c>
      <c r="I23">
        <v>0.92632289999999995</v>
      </c>
      <c r="J23" s="4">
        <v>-1.180443E-5</v>
      </c>
      <c r="L23">
        <v>200.5069</v>
      </c>
      <c r="M23" s="4">
        <v>-3.0364630000000002E-8</v>
      </c>
    </row>
    <row r="24" spans="2:13" x14ac:dyDescent="0.55000000000000004">
      <c r="B24">
        <v>1.8877390000000001</v>
      </c>
      <c r="C24">
        <v>6.08073</v>
      </c>
      <c r="D24">
        <v>1.917483</v>
      </c>
      <c r="E24">
        <v>6.6469659999999999</v>
      </c>
      <c r="F24">
        <v>1.931044</v>
      </c>
      <c r="G24">
        <v>6.7766760000000001</v>
      </c>
      <c r="I24">
        <v>0.97411389999999998</v>
      </c>
      <c r="J24" s="4">
        <v>-7.4720569999999999E-6</v>
      </c>
      <c r="L24">
        <v>210.5634</v>
      </c>
      <c r="M24" s="4">
        <v>-3.1522149999999997E-8</v>
      </c>
    </row>
    <row r="25" spans="2:13" x14ac:dyDescent="0.55000000000000004">
      <c r="B25">
        <v>1.977948</v>
      </c>
      <c r="C25">
        <v>6.342657</v>
      </c>
      <c r="D25">
        <v>2.0096919999999998</v>
      </c>
      <c r="E25">
        <v>6.9467489999999996</v>
      </c>
      <c r="F25">
        <v>2.023809</v>
      </c>
      <c r="G25">
        <v>7.0824540000000002</v>
      </c>
      <c r="I25">
        <v>1.020608</v>
      </c>
      <c r="J25" s="4">
        <v>-1.5349090000000001E-5</v>
      </c>
      <c r="L25">
        <v>220.60900000000001</v>
      </c>
      <c r="M25" s="4">
        <v>-3.2642330000000001E-8</v>
      </c>
    </row>
    <row r="26" spans="2:13" x14ac:dyDescent="0.55000000000000004">
      <c r="B26">
        <v>2.0969989999999998</v>
      </c>
      <c r="C26">
        <v>6.6956749999999996</v>
      </c>
      <c r="D26">
        <v>2.1261679999999998</v>
      </c>
      <c r="E26">
        <v>7.3416220000000001</v>
      </c>
      <c r="F26">
        <v>2.1416200000000001</v>
      </c>
      <c r="G26">
        <v>7.4853199999999998</v>
      </c>
      <c r="I26">
        <v>1.0669420000000001</v>
      </c>
      <c r="J26" s="4">
        <v>-2.2044580000000001E-5</v>
      </c>
      <c r="L26">
        <v>230.6112</v>
      </c>
      <c r="M26" s="4">
        <v>-3.3071740000000003E-8</v>
      </c>
    </row>
    <row r="27" spans="2:13" x14ac:dyDescent="0.55000000000000004">
      <c r="B27">
        <v>2.1612110000000002</v>
      </c>
      <c r="C27">
        <v>6.8750200000000001</v>
      </c>
      <c r="D27">
        <v>2.1908210000000001</v>
      </c>
      <c r="E27">
        <v>7.54765</v>
      </c>
      <c r="F27">
        <v>2.2081119999999999</v>
      </c>
      <c r="G27">
        <v>7.6905060000000001</v>
      </c>
      <c r="I27">
        <v>1.112843</v>
      </c>
      <c r="J27" s="4">
        <v>-1.495524E-5</v>
      </c>
      <c r="L27">
        <v>240.6661</v>
      </c>
      <c r="M27" s="4">
        <v>-3.2717009999999998E-8</v>
      </c>
    </row>
    <row r="28" spans="2:13" x14ac:dyDescent="0.55000000000000004">
      <c r="B28">
        <v>2.2548789999999999</v>
      </c>
      <c r="C28">
        <v>7.1361119999999998</v>
      </c>
      <c r="D28">
        <v>2.2826960000000001</v>
      </c>
      <c r="E28">
        <v>7.8395919999999997</v>
      </c>
      <c r="F28">
        <v>2.299204</v>
      </c>
      <c r="G28">
        <v>7.9932809999999996</v>
      </c>
      <c r="I28">
        <v>1.159716</v>
      </c>
      <c r="J28" s="4">
        <v>-5.5027979999999996E-6</v>
      </c>
      <c r="L28">
        <v>250.72120000000001</v>
      </c>
      <c r="M28" s="4">
        <v>-3.3034399999999998E-8</v>
      </c>
    </row>
    <row r="29" spans="2:13" x14ac:dyDescent="0.55000000000000004">
      <c r="B29">
        <v>2.3449200000000001</v>
      </c>
      <c r="C29">
        <v>7.3947019999999997</v>
      </c>
      <c r="D29">
        <v>2.3755190000000002</v>
      </c>
      <c r="E29">
        <v>8.1338699999999999</v>
      </c>
      <c r="F29">
        <v>2.3894030000000002</v>
      </c>
      <c r="G29">
        <v>8.2968899999999994</v>
      </c>
      <c r="I29">
        <v>1.2067509999999999</v>
      </c>
      <c r="J29" s="4">
        <v>-1.3773689999999999E-5</v>
      </c>
      <c r="L29">
        <v>260.71960000000001</v>
      </c>
      <c r="M29" s="4">
        <v>-3.4285260000000002E-8</v>
      </c>
    </row>
    <row r="30" spans="2:13" x14ac:dyDescent="0.55000000000000004">
      <c r="B30">
        <v>2.434348</v>
      </c>
      <c r="C30">
        <v>7.6456179999999998</v>
      </c>
      <c r="D30">
        <v>2.4661110000000002</v>
      </c>
      <c r="E30">
        <v>8.4253119999999999</v>
      </c>
      <c r="F30">
        <v>2.4832839999999998</v>
      </c>
      <c r="G30">
        <v>8.5906570000000002</v>
      </c>
      <c r="I30">
        <v>1.2723949999999999</v>
      </c>
      <c r="J30" s="4">
        <v>-2.1650730000000001E-5</v>
      </c>
      <c r="L30">
        <v>270.76389999999998</v>
      </c>
      <c r="M30" s="4">
        <v>-3.4098570000000002E-8</v>
      </c>
    </row>
    <row r="31" spans="2:13" x14ac:dyDescent="0.55000000000000004">
      <c r="B31">
        <v>2.5301360000000002</v>
      </c>
      <c r="C31">
        <v>7.8946990000000001</v>
      </c>
      <c r="D31">
        <v>2.556368</v>
      </c>
      <c r="E31">
        <v>8.7240939999999991</v>
      </c>
      <c r="F31">
        <v>2.5757140000000001</v>
      </c>
      <c r="G31">
        <v>8.8850909999999992</v>
      </c>
      <c r="I31">
        <v>1.2985009999999999</v>
      </c>
      <c r="J31" s="4">
        <v>-9.0474650000000003E-6</v>
      </c>
      <c r="L31">
        <v>280.81540000000001</v>
      </c>
      <c r="M31" s="4">
        <v>-3.5237420000000001E-8</v>
      </c>
    </row>
    <row r="32" spans="2:13" x14ac:dyDescent="0.55000000000000004">
      <c r="B32">
        <v>2.6240830000000002</v>
      </c>
      <c r="C32">
        <v>8.1467829999999992</v>
      </c>
      <c r="D32">
        <v>2.6498050000000002</v>
      </c>
      <c r="E32">
        <v>9.0043589999999991</v>
      </c>
      <c r="F32">
        <v>2.666639</v>
      </c>
      <c r="G32">
        <v>9.1785239999999995</v>
      </c>
      <c r="I32">
        <v>1.3455889999999999</v>
      </c>
      <c r="J32" s="4">
        <v>-6.6843539999999999E-6</v>
      </c>
      <c r="L32">
        <v>290.82240000000002</v>
      </c>
      <c r="M32" s="4">
        <v>-3.5760169999999999E-8</v>
      </c>
    </row>
    <row r="33" spans="2:13" x14ac:dyDescent="0.55000000000000004">
      <c r="B33">
        <v>2.7158540000000002</v>
      </c>
      <c r="C33">
        <v>8.3848529999999997</v>
      </c>
      <c r="D33">
        <v>2.7403409999999999</v>
      </c>
      <c r="E33">
        <v>9.2881269999999994</v>
      </c>
      <c r="F33">
        <v>2.7585670000000002</v>
      </c>
      <c r="G33">
        <v>9.4657850000000003</v>
      </c>
      <c r="I33">
        <v>1.3933249999999999</v>
      </c>
      <c r="J33" s="4">
        <v>-1.495524E-5</v>
      </c>
      <c r="L33">
        <v>300.8766</v>
      </c>
      <c r="M33" s="4">
        <v>-3.566682E-8</v>
      </c>
    </row>
    <row r="34" spans="2:13" x14ac:dyDescent="0.55000000000000004">
      <c r="B34">
        <v>2.808573</v>
      </c>
      <c r="C34">
        <v>8.6189180000000007</v>
      </c>
      <c r="D34">
        <v>2.8302640000000001</v>
      </c>
      <c r="E34">
        <v>9.5755649999999992</v>
      </c>
      <c r="F34">
        <v>2.8492130000000002</v>
      </c>
      <c r="G34">
        <v>9.7570499999999996</v>
      </c>
      <c r="I34">
        <v>1.439767</v>
      </c>
      <c r="J34" s="4">
        <v>-1.495524E-5</v>
      </c>
      <c r="L34">
        <v>310.923</v>
      </c>
      <c r="M34" s="4">
        <v>-3.5853519999999997E-8</v>
      </c>
    </row>
    <row r="35" spans="2:13" x14ac:dyDescent="0.55000000000000004">
      <c r="B35">
        <v>2.9164110000000001</v>
      </c>
      <c r="C35">
        <v>8.880846</v>
      </c>
      <c r="D35">
        <v>2.921414</v>
      </c>
      <c r="E35">
        <v>9.8611690000000003</v>
      </c>
      <c r="F35">
        <v>2.9396909999999998</v>
      </c>
      <c r="G35">
        <v>10.05315</v>
      </c>
      <c r="I35">
        <v>1.4860990000000001</v>
      </c>
      <c r="J35" s="4">
        <v>-1.8893759999999999E-5</v>
      </c>
      <c r="L35">
        <v>320.92219999999998</v>
      </c>
      <c r="M35" s="4">
        <v>-3.6394939999999997E-8</v>
      </c>
    </row>
    <row r="36" spans="2:13" x14ac:dyDescent="0.55000000000000004">
      <c r="B36">
        <v>3.0090189999999999</v>
      </c>
      <c r="C36">
        <v>9.1162460000000003</v>
      </c>
      <c r="D36">
        <v>3.0131220000000001</v>
      </c>
      <c r="E36">
        <v>10.137930000000001</v>
      </c>
      <c r="F36">
        <v>3.031396</v>
      </c>
      <c r="G36">
        <v>10.339410000000001</v>
      </c>
      <c r="I36">
        <v>1.5322709999999999</v>
      </c>
      <c r="J36" s="4">
        <v>-1.456139E-5</v>
      </c>
      <c r="L36">
        <v>330.96640000000002</v>
      </c>
      <c r="M36" s="4">
        <v>-3.6152229999999999E-8</v>
      </c>
    </row>
    <row r="37" spans="2:13" x14ac:dyDescent="0.55000000000000004">
      <c r="B37">
        <v>3.1004</v>
      </c>
      <c r="C37">
        <v>9.3274559999999997</v>
      </c>
      <c r="D37">
        <v>3.1053869999999999</v>
      </c>
      <c r="E37">
        <v>10.41269</v>
      </c>
      <c r="F37">
        <v>3.1243289999999999</v>
      </c>
      <c r="G37">
        <v>10.623670000000001</v>
      </c>
      <c r="I37">
        <v>1.579037</v>
      </c>
      <c r="J37" s="4">
        <v>-1.8893759999999999E-5</v>
      </c>
      <c r="L37">
        <v>341.02319999999997</v>
      </c>
      <c r="M37" s="4">
        <v>-3.6674989999999999E-8</v>
      </c>
    </row>
    <row r="38" spans="2:13" x14ac:dyDescent="0.55000000000000004">
      <c r="B38">
        <v>3.1926169999999998</v>
      </c>
      <c r="C38">
        <v>9.5451730000000001</v>
      </c>
      <c r="D38">
        <v>3.1948639999999999</v>
      </c>
      <c r="E38">
        <v>10.698130000000001</v>
      </c>
      <c r="F38">
        <v>3.2161460000000002</v>
      </c>
      <c r="G38">
        <v>10.90376</v>
      </c>
      <c r="I38">
        <v>1.62564</v>
      </c>
      <c r="J38" s="4">
        <v>-1.9287609999999999E-5</v>
      </c>
      <c r="L38">
        <v>351.03030000000001</v>
      </c>
      <c r="M38" s="4">
        <v>-3.632026E-8</v>
      </c>
    </row>
    <row r="39" spans="2:13" x14ac:dyDescent="0.55000000000000004">
      <c r="B39">
        <v>3.287903</v>
      </c>
      <c r="C39">
        <v>9.7366960000000002</v>
      </c>
      <c r="D39">
        <v>3.2867389999999999</v>
      </c>
      <c r="E39">
        <v>10.973549999999999</v>
      </c>
      <c r="F39">
        <v>3.3087430000000002</v>
      </c>
      <c r="G39">
        <v>11.18418</v>
      </c>
      <c r="I39">
        <v>1.696677</v>
      </c>
      <c r="J39" s="4">
        <v>-1.5742950000000001E-5</v>
      </c>
      <c r="L39">
        <v>361.07729999999998</v>
      </c>
      <c r="M39" s="4">
        <v>-3.5498800000000002E-8</v>
      </c>
    </row>
    <row r="40" spans="2:13" x14ac:dyDescent="0.55000000000000004">
      <c r="B40">
        <v>3.3807339999999999</v>
      </c>
      <c r="C40">
        <v>9.920712</v>
      </c>
      <c r="D40">
        <v>3.3794499999999998</v>
      </c>
      <c r="E40">
        <v>11.24231</v>
      </c>
      <c r="F40">
        <v>3.4005040000000002</v>
      </c>
      <c r="G40">
        <v>11.461600000000001</v>
      </c>
      <c r="I40">
        <v>1.716688</v>
      </c>
      <c r="J40" s="4">
        <v>-1.022902E-5</v>
      </c>
      <c r="L40">
        <v>371.12670000000003</v>
      </c>
      <c r="M40" s="4">
        <v>-3.7029710000000002E-8</v>
      </c>
    </row>
    <row r="41" spans="2:13" x14ac:dyDescent="0.55000000000000004">
      <c r="B41">
        <v>3.4733420000000002</v>
      </c>
      <c r="C41">
        <v>10.09906</v>
      </c>
      <c r="D41">
        <v>3.471158</v>
      </c>
      <c r="E41">
        <v>11.518230000000001</v>
      </c>
      <c r="F41">
        <v>3.4929350000000001</v>
      </c>
      <c r="G41">
        <v>11.736520000000001</v>
      </c>
      <c r="I41">
        <v>1.764154</v>
      </c>
      <c r="J41" s="4">
        <v>-6.2905010000000004E-6</v>
      </c>
      <c r="L41">
        <v>381.1207</v>
      </c>
      <c r="M41" s="4">
        <v>-3.632026E-8</v>
      </c>
    </row>
    <row r="42" spans="2:13" x14ac:dyDescent="0.55000000000000004">
      <c r="B42">
        <v>3.5634389999999998</v>
      </c>
      <c r="C42">
        <v>10.25888</v>
      </c>
      <c r="D42">
        <v>3.5611359999999999</v>
      </c>
      <c r="E42">
        <v>11.79266</v>
      </c>
      <c r="F42">
        <v>3.585086</v>
      </c>
      <c r="G42">
        <v>12.0131</v>
      </c>
      <c r="I42">
        <v>1.8109729999999999</v>
      </c>
      <c r="J42" s="4">
        <v>-4.3212420000000001E-6</v>
      </c>
      <c r="L42">
        <v>391.17599999999999</v>
      </c>
      <c r="M42" s="4">
        <v>-3.6152229999999999E-8</v>
      </c>
    </row>
    <row r="43" spans="2:13" x14ac:dyDescent="0.55000000000000004">
      <c r="B43">
        <v>3.6572179999999999</v>
      </c>
      <c r="C43">
        <v>10.4152</v>
      </c>
      <c r="D43">
        <v>3.6519520000000001</v>
      </c>
      <c r="E43">
        <v>12.064920000000001</v>
      </c>
      <c r="F43">
        <v>3.676736</v>
      </c>
      <c r="G43">
        <v>12.287520000000001</v>
      </c>
      <c r="I43">
        <v>1.857791</v>
      </c>
      <c r="J43" s="4">
        <v>-1.69245E-5</v>
      </c>
      <c r="L43">
        <v>401.23070000000001</v>
      </c>
      <c r="M43" s="4">
        <v>-3.6096219999999998E-8</v>
      </c>
    </row>
    <row r="44" spans="2:13" x14ac:dyDescent="0.55000000000000004">
      <c r="B44">
        <v>3.7514439999999998</v>
      </c>
      <c r="C44">
        <v>10.549670000000001</v>
      </c>
      <c r="D44">
        <v>3.7461139999999999</v>
      </c>
      <c r="E44">
        <v>12.331340000000001</v>
      </c>
      <c r="F44">
        <v>3.7688320000000002</v>
      </c>
      <c r="G44">
        <v>12.559430000000001</v>
      </c>
      <c r="I44">
        <v>1.9044490000000001</v>
      </c>
      <c r="J44" s="4">
        <v>-2.0469169999999998E-5</v>
      </c>
      <c r="L44">
        <v>411.23289999999997</v>
      </c>
      <c r="M44" s="4">
        <v>-3.732843E-8</v>
      </c>
    </row>
    <row r="45" spans="2:13" x14ac:dyDescent="0.55000000000000004">
      <c r="B45">
        <v>3.8444430000000001</v>
      </c>
      <c r="C45">
        <v>10.65544</v>
      </c>
      <c r="D45">
        <v>3.8372639999999998</v>
      </c>
      <c r="E45">
        <v>12.59408</v>
      </c>
      <c r="F45">
        <v>3.8598119999999998</v>
      </c>
      <c r="G45">
        <v>12.82751</v>
      </c>
      <c r="I45">
        <v>1.950674</v>
      </c>
      <c r="J45" s="4">
        <v>-9.4413159999999993E-6</v>
      </c>
      <c r="L45">
        <v>421.27659999999997</v>
      </c>
      <c r="M45" s="4">
        <v>-3.6786999999999997E-8</v>
      </c>
    </row>
    <row r="46" spans="2:13" x14ac:dyDescent="0.55000000000000004">
      <c r="B46">
        <v>3.937608</v>
      </c>
      <c r="C46">
        <v>10.776400000000001</v>
      </c>
      <c r="D46">
        <v>3.927019</v>
      </c>
      <c r="E46">
        <v>12.86401</v>
      </c>
      <c r="F46">
        <v>3.9516290000000001</v>
      </c>
      <c r="G46">
        <v>13.09825</v>
      </c>
      <c r="I46">
        <v>1.9963070000000001</v>
      </c>
      <c r="J46" s="4">
        <v>-6.6843539999999999E-6</v>
      </c>
      <c r="L46">
        <v>431.3331</v>
      </c>
      <c r="M46" s="4">
        <v>-3.7365769999999998E-8</v>
      </c>
    </row>
    <row r="47" spans="2:13" x14ac:dyDescent="0.55000000000000004">
      <c r="B47">
        <v>4.0316109999999998</v>
      </c>
      <c r="C47">
        <v>10.86098</v>
      </c>
      <c r="D47">
        <v>4.0202879999999999</v>
      </c>
      <c r="E47">
        <v>13.12208</v>
      </c>
      <c r="F47">
        <v>4.0422180000000001</v>
      </c>
      <c r="G47">
        <v>13.36633</v>
      </c>
      <c r="I47">
        <v>2.042046</v>
      </c>
      <c r="J47" s="4">
        <v>-2.0075319999999999E-5</v>
      </c>
      <c r="L47">
        <v>441.33280000000002</v>
      </c>
      <c r="M47" s="4">
        <v>-3.7216409999999999E-8</v>
      </c>
    </row>
    <row r="48" spans="2:13" x14ac:dyDescent="0.55000000000000004">
      <c r="B48">
        <v>4.1246650000000002</v>
      </c>
      <c r="C48">
        <v>10.942729999999999</v>
      </c>
      <c r="D48">
        <v>4.1108799999999999</v>
      </c>
      <c r="E48">
        <v>13.379989999999999</v>
      </c>
      <c r="F48">
        <v>4.1343699999999997</v>
      </c>
      <c r="G48">
        <v>13.63007</v>
      </c>
      <c r="I48">
        <v>2.1201490000000001</v>
      </c>
      <c r="J48" s="4">
        <v>-1.771221E-5</v>
      </c>
      <c r="L48">
        <v>451.38869999999997</v>
      </c>
      <c r="M48" s="4">
        <v>-3.6973700000000001E-8</v>
      </c>
    </row>
    <row r="49" spans="2:13" x14ac:dyDescent="0.55000000000000004">
      <c r="B49">
        <v>4.2733400000000001</v>
      </c>
      <c r="C49">
        <v>11.10572</v>
      </c>
      <c r="D49">
        <v>4.2570880000000004</v>
      </c>
      <c r="E49">
        <v>13.80973</v>
      </c>
      <c r="F49">
        <v>4.2816340000000004</v>
      </c>
      <c r="G49">
        <v>14.05646</v>
      </c>
      <c r="I49">
        <v>2.1358990000000002</v>
      </c>
      <c r="J49" s="4">
        <v>-1.771221E-5</v>
      </c>
      <c r="L49">
        <v>461.43619999999999</v>
      </c>
      <c r="M49" s="4">
        <v>-3.5760169999999999E-8</v>
      </c>
    </row>
    <row r="50" spans="2:13" x14ac:dyDescent="0.55000000000000004">
      <c r="B50">
        <v>4.3136739999999998</v>
      </c>
      <c r="C50">
        <v>11.03565</v>
      </c>
      <c r="D50">
        <v>4.292065</v>
      </c>
      <c r="E50">
        <v>13.89648</v>
      </c>
      <c r="F50">
        <v>4.3174460000000003</v>
      </c>
      <c r="G50">
        <v>14.150539999999999</v>
      </c>
      <c r="I50">
        <v>2.1827200000000002</v>
      </c>
      <c r="J50" s="4">
        <v>-6.2905010000000004E-6</v>
      </c>
      <c r="L50">
        <v>471.4434</v>
      </c>
      <c r="M50" s="4">
        <v>-3.6768330000000001E-8</v>
      </c>
    </row>
    <row r="51" spans="2:13" x14ac:dyDescent="0.55000000000000004">
      <c r="B51">
        <v>4.4076769999999996</v>
      </c>
      <c r="C51">
        <v>11.07686</v>
      </c>
      <c r="D51">
        <v>4.3858360000000003</v>
      </c>
      <c r="E51">
        <v>14.15039</v>
      </c>
      <c r="F51">
        <v>4.4077010000000003</v>
      </c>
      <c r="G51">
        <v>14.41245</v>
      </c>
      <c r="I51">
        <v>2.2290519999999998</v>
      </c>
      <c r="J51" s="4">
        <v>-1.456139E-5</v>
      </c>
      <c r="L51">
        <v>481.48919999999998</v>
      </c>
      <c r="M51" s="4">
        <v>-3.6936360000000003E-8</v>
      </c>
    </row>
    <row r="52" spans="2:13" x14ac:dyDescent="0.55000000000000004">
      <c r="B52">
        <v>4.5003399999999996</v>
      </c>
      <c r="C52">
        <v>11.11173</v>
      </c>
      <c r="D52">
        <v>4.4784360000000003</v>
      </c>
      <c r="E52">
        <v>14.409129999999999</v>
      </c>
      <c r="F52">
        <v>4.499797</v>
      </c>
      <c r="G52">
        <v>14.66818</v>
      </c>
      <c r="I52">
        <v>2.2752240000000001</v>
      </c>
      <c r="J52" s="4">
        <v>-1.810606E-5</v>
      </c>
      <c r="L52">
        <v>491.53230000000002</v>
      </c>
      <c r="M52" s="4">
        <v>-3.6413609999999999E-8</v>
      </c>
    </row>
    <row r="53" spans="2:13" x14ac:dyDescent="0.55000000000000004">
      <c r="B53">
        <v>4.5938410000000003</v>
      </c>
      <c r="C53">
        <v>11.16128</v>
      </c>
      <c r="D53">
        <v>4.571148</v>
      </c>
      <c r="E53">
        <v>14.66287</v>
      </c>
      <c r="F53">
        <v>4.591558</v>
      </c>
      <c r="G53">
        <v>14.91924</v>
      </c>
      <c r="I53">
        <v>2.3219349999999999</v>
      </c>
      <c r="J53" s="4">
        <v>-1.456139E-5</v>
      </c>
      <c r="L53">
        <v>501.54649999999998</v>
      </c>
      <c r="M53" s="4">
        <v>-3.7496449999999998E-8</v>
      </c>
    </row>
    <row r="54" spans="2:13" x14ac:dyDescent="0.55000000000000004">
      <c r="B54">
        <v>4.6862820000000003</v>
      </c>
      <c r="C54">
        <v>11.20933</v>
      </c>
      <c r="D54">
        <v>4.6646970000000003</v>
      </c>
      <c r="E54">
        <v>14.915279999999999</v>
      </c>
      <c r="F54">
        <v>4.6827610000000002</v>
      </c>
      <c r="G54">
        <v>15.17597</v>
      </c>
      <c r="I54">
        <v>2.3688630000000002</v>
      </c>
      <c r="J54" s="4">
        <v>-7.865909E-6</v>
      </c>
      <c r="L54">
        <v>511.59010000000001</v>
      </c>
      <c r="M54" s="4">
        <v>-3.6301589999999998E-8</v>
      </c>
    </row>
    <row r="55" spans="2:13" x14ac:dyDescent="0.55000000000000004">
      <c r="B55">
        <v>4.7812320000000001</v>
      </c>
      <c r="C55">
        <v>11.235849999999999</v>
      </c>
      <c r="D55">
        <v>4.7564599999999997</v>
      </c>
      <c r="E55">
        <v>15.17902</v>
      </c>
      <c r="F55">
        <v>4.7761959999999997</v>
      </c>
      <c r="G55">
        <v>15.423030000000001</v>
      </c>
      <c r="I55">
        <v>2.4136299999999999</v>
      </c>
      <c r="J55" s="4">
        <v>-7.4720569999999999E-6</v>
      </c>
      <c r="L55">
        <v>521.59479999999996</v>
      </c>
      <c r="M55" s="4">
        <v>-3.7309759999999998E-8</v>
      </c>
    </row>
    <row r="56" spans="2:13" x14ac:dyDescent="0.55000000000000004">
      <c r="B56">
        <v>4.8745099999999999</v>
      </c>
      <c r="C56">
        <v>11.275729999999999</v>
      </c>
      <c r="D56">
        <v>4.8493389999999996</v>
      </c>
      <c r="E56">
        <v>15.42876</v>
      </c>
      <c r="F56">
        <v>4.8682910000000001</v>
      </c>
      <c r="G56">
        <v>15.67676</v>
      </c>
      <c r="I56">
        <v>2.4600719999999998</v>
      </c>
      <c r="J56" s="4">
        <v>-1.6530650000000001E-5</v>
      </c>
      <c r="L56">
        <v>531.64250000000004</v>
      </c>
      <c r="M56" s="4">
        <v>-3.7421770000000002E-8</v>
      </c>
    </row>
    <row r="57" spans="2:13" x14ac:dyDescent="0.55000000000000004">
      <c r="B57">
        <v>4.9663930000000001</v>
      </c>
      <c r="C57">
        <v>11.30926</v>
      </c>
      <c r="D57">
        <v>4.9421629999999999</v>
      </c>
      <c r="E57">
        <v>15.671659999999999</v>
      </c>
      <c r="F57">
        <v>4.9602199999999996</v>
      </c>
      <c r="G57">
        <v>15.923819999999999</v>
      </c>
      <c r="I57">
        <v>2.544</v>
      </c>
      <c r="J57" s="4">
        <v>-1.6530650000000001E-5</v>
      </c>
      <c r="L57">
        <v>541.69069999999999</v>
      </c>
      <c r="M57" s="4">
        <v>-3.5984210000000001E-8</v>
      </c>
    </row>
    <row r="58" spans="2:13" x14ac:dyDescent="0.55000000000000004">
      <c r="B58">
        <v>5.0598929999999998</v>
      </c>
      <c r="C58">
        <v>11.345459999999999</v>
      </c>
      <c r="D58">
        <v>5.0361570000000002</v>
      </c>
      <c r="E58">
        <v>15.91822</v>
      </c>
      <c r="F58">
        <v>5.0525950000000002</v>
      </c>
      <c r="G58">
        <v>16.17455</v>
      </c>
      <c r="I58">
        <v>2.553763</v>
      </c>
      <c r="J58" s="4">
        <v>-2.7458349999999999E-6</v>
      </c>
      <c r="L58">
        <v>551.69759999999997</v>
      </c>
      <c r="M58" s="4">
        <v>-3.6394939999999997E-8</v>
      </c>
    </row>
    <row r="59" spans="2:13" x14ac:dyDescent="0.55000000000000004">
      <c r="B59">
        <v>5.1520539999999997</v>
      </c>
      <c r="C59">
        <v>11.379659999999999</v>
      </c>
      <c r="D59">
        <v>5.1294269999999997</v>
      </c>
      <c r="E59">
        <v>16.170459999999999</v>
      </c>
      <c r="F59">
        <v>5.1437419999999996</v>
      </c>
      <c r="G59">
        <v>16.426439999999999</v>
      </c>
      <c r="I59">
        <v>2.6011229999999999</v>
      </c>
      <c r="J59" s="4">
        <v>-1.1410580000000001E-5</v>
      </c>
      <c r="L59">
        <v>561.75319999999999</v>
      </c>
      <c r="M59" s="4">
        <v>-3.680567E-8</v>
      </c>
    </row>
    <row r="60" spans="2:13" x14ac:dyDescent="0.55000000000000004">
      <c r="B60">
        <v>5.2468940000000002</v>
      </c>
      <c r="C60">
        <v>11.41436</v>
      </c>
      <c r="D60">
        <v>5.2232539999999998</v>
      </c>
      <c r="E60">
        <v>16.42287</v>
      </c>
      <c r="F60">
        <v>5.235894</v>
      </c>
      <c r="G60">
        <v>16.66649</v>
      </c>
      <c r="I60">
        <v>2.6473469999999999</v>
      </c>
      <c r="J60" s="4">
        <v>-1.495524E-5</v>
      </c>
      <c r="L60">
        <v>571.79610000000002</v>
      </c>
      <c r="M60" s="4">
        <v>-3.5834850000000001E-8</v>
      </c>
    </row>
    <row r="61" spans="2:13" x14ac:dyDescent="0.55000000000000004">
      <c r="B61">
        <v>5.3392790000000003</v>
      </c>
      <c r="C61">
        <v>11.45257</v>
      </c>
      <c r="D61">
        <v>5.3159660000000004</v>
      </c>
      <c r="E61">
        <v>16.667100000000001</v>
      </c>
      <c r="F61">
        <v>5.3298860000000001</v>
      </c>
      <c r="G61">
        <v>16.912220000000001</v>
      </c>
      <c r="I61">
        <v>2.6938960000000001</v>
      </c>
      <c r="J61" s="5">
        <v>2.3742399999999999E-6</v>
      </c>
      <c r="L61">
        <v>581.79939999999999</v>
      </c>
      <c r="M61" s="4">
        <v>-3.6301589999999998E-8</v>
      </c>
    </row>
    <row r="62" spans="2:13" x14ac:dyDescent="0.55000000000000004">
      <c r="B62">
        <v>5.435289</v>
      </c>
      <c r="C62">
        <v>11.47542</v>
      </c>
      <c r="D62">
        <v>5.4080640000000004</v>
      </c>
      <c r="E62">
        <v>16.907489999999999</v>
      </c>
      <c r="F62">
        <v>5.4227619999999996</v>
      </c>
      <c r="G62">
        <v>17.153099999999998</v>
      </c>
      <c r="I62">
        <v>2.7404449999999998</v>
      </c>
      <c r="J62" s="4">
        <v>-4.7150940000000002E-6</v>
      </c>
      <c r="L62">
        <v>591.8442</v>
      </c>
      <c r="M62" s="4">
        <v>-3.5592139999999997E-8</v>
      </c>
    </row>
    <row r="63" spans="2:13" x14ac:dyDescent="0.55000000000000004">
      <c r="B63">
        <v>5.5281209999999996</v>
      </c>
      <c r="C63">
        <v>11.50412</v>
      </c>
      <c r="D63">
        <v>5.503342</v>
      </c>
      <c r="E63">
        <v>17.152889999999999</v>
      </c>
      <c r="F63">
        <v>5.5127389999999998</v>
      </c>
      <c r="G63">
        <v>17.40033</v>
      </c>
      <c r="I63">
        <v>2.7869419999999998</v>
      </c>
      <c r="J63" s="5">
        <v>1.8916020000000001E-5</v>
      </c>
      <c r="L63">
        <v>601.89919999999995</v>
      </c>
      <c r="M63" s="4">
        <v>-3.5498800000000002E-8</v>
      </c>
    </row>
    <row r="64" spans="2:13" x14ac:dyDescent="0.55000000000000004">
      <c r="B64">
        <v>5.6195570000000004</v>
      </c>
      <c r="C64">
        <v>11.545159999999999</v>
      </c>
      <c r="D64">
        <v>5.5977269999999999</v>
      </c>
      <c r="E64">
        <v>17.389949999999999</v>
      </c>
      <c r="F64">
        <v>5.6061730000000001</v>
      </c>
      <c r="G64">
        <v>17.636369999999999</v>
      </c>
      <c r="I64">
        <v>2.8328419999999999</v>
      </c>
      <c r="J64" s="5">
        <v>1.4189799999999999E-5</v>
      </c>
      <c r="L64">
        <v>611.90610000000004</v>
      </c>
      <c r="M64" s="4">
        <v>-3.5610809999999999E-8</v>
      </c>
    </row>
    <row r="65" spans="2:13" x14ac:dyDescent="0.55000000000000004">
      <c r="B65">
        <v>5.7137830000000003</v>
      </c>
      <c r="C65">
        <v>11.572850000000001</v>
      </c>
      <c r="D65">
        <v>5.6905510000000001</v>
      </c>
      <c r="E65">
        <v>17.621670000000002</v>
      </c>
      <c r="F65">
        <v>5.7007789999999998</v>
      </c>
      <c r="G65">
        <v>17.874089999999999</v>
      </c>
      <c r="I65">
        <v>2.879121</v>
      </c>
      <c r="J65" s="5">
        <v>5.396884E-5</v>
      </c>
      <c r="L65">
        <v>621.94989999999996</v>
      </c>
      <c r="M65" s="4">
        <v>-3.5797510000000003E-8</v>
      </c>
    </row>
    <row r="66" spans="2:13" x14ac:dyDescent="0.55000000000000004">
      <c r="B66">
        <v>5.807785</v>
      </c>
      <c r="C66">
        <v>11.59704</v>
      </c>
      <c r="D66">
        <v>5.783709</v>
      </c>
      <c r="E66">
        <v>17.854050000000001</v>
      </c>
      <c r="F66">
        <v>5.7912569999999999</v>
      </c>
      <c r="G66">
        <v>18.115310000000001</v>
      </c>
      <c r="I66">
        <v>2.968445</v>
      </c>
      <c r="J66" s="5">
        <v>6.8935210000000004E-5</v>
      </c>
      <c r="L66">
        <v>632.00160000000005</v>
      </c>
      <c r="M66" s="4">
        <v>-3.5648149999999998E-8</v>
      </c>
    </row>
    <row r="67" spans="2:13" x14ac:dyDescent="0.55000000000000004">
      <c r="B67">
        <v>5.9041870000000003</v>
      </c>
      <c r="C67">
        <v>11.61256</v>
      </c>
      <c r="D67">
        <v>5.876811</v>
      </c>
      <c r="E67">
        <v>18.084099999999999</v>
      </c>
      <c r="F67">
        <v>5.8830179999999999</v>
      </c>
      <c r="G67">
        <v>18.350020000000001</v>
      </c>
      <c r="I67">
        <v>2.9722209999999998</v>
      </c>
      <c r="J67" s="5">
        <v>1.406162E-4</v>
      </c>
      <c r="L67">
        <v>641.99770000000001</v>
      </c>
      <c r="M67" s="4">
        <v>-3.506939E-8</v>
      </c>
    </row>
    <row r="68" spans="2:13" x14ac:dyDescent="0.55000000000000004">
      <c r="B68">
        <v>5.9973520000000002</v>
      </c>
      <c r="C68">
        <v>11.639419999999999</v>
      </c>
      <c r="D68">
        <v>5.9679609999999998</v>
      </c>
      <c r="E68">
        <v>18.31532</v>
      </c>
      <c r="F68">
        <v>5.9774570000000002</v>
      </c>
      <c r="G68">
        <v>18.580559999999998</v>
      </c>
      <c r="I68">
        <v>3.0182310000000001</v>
      </c>
      <c r="J68" s="5">
        <v>2.079649E-4</v>
      </c>
      <c r="L68">
        <v>652.05430000000001</v>
      </c>
      <c r="M68" s="4">
        <v>-3.5946870000000002E-8</v>
      </c>
    </row>
    <row r="69" spans="2:13" x14ac:dyDescent="0.55000000000000004">
      <c r="B69">
        <v>6.09063</v>
      </c>
      <c r="C69">
        <v>11.66328</v>
      </c>
      <c r="D69">
        <v>6.060003</v>
      </c>
      <c r="E69">
        <v>18.5427</v>
      </c>
      <c r="F69">
        <v>6.0699990000000001</v>
      </c>
      <c r="G69">
        <v>18.808109999999999</v>
      </c>
      <c r="I69">
        <v>3.0648330000000001</v>
      </c>
      <c r="J69" s="5">
        <v>3.6156719999999999E-4</v>
      </c>
      <c r="L69">
        <v>662.10709999999995</v>
      </c>
      <c r="M69" s="4">
        <v>-3.5293430000000002E-8</v>
      </c>
    </row>
    <row r="70" spans="2:13" x14ac:dyDescent="0.55000000000000004">
      <c r="B70">
        <v>6.1839630000000003</v>
      </c>
      <c r="C70">
        <v>11.69848</v>
      </c>
      <c r="D70">
        <v>6.1526589999999999</v>
      </c>
      <c r="E70">
        <v>18.769079999999999</v>
      </c>
      <c r="F70">
        <v>6.1621499999999996</v>
      </c>
      <c r="G70">
        <v>19.04515</v>
      </c>
      <c r="I70">
        <v>3.1118130000000002</v>
      </c>
      <c r="J70" s="5">
        <v>5.6479480000000003E-4</v>
      </c>
      <c r="L70">
        <v>672.11040000000003</v>
      </c>
      <c r="M70" s="4">
        <v>-3.4154580000000002E-8</v>
      </c>
    </row>
    <row r="71" spans="2:13" x14ac:dyDescent="0.55000000000000004">
      <c r="B71">
        <v>6.278467</v>
      </c>
      <c r="C71">
        <v>11.712490000000001</v>
      </c>
      <c r="D71">
        <v>6.2459850000000001</v>
      </c>
      <c r="E71">
        <v>18.996459999999999</v>
      </c>
      <c r="F71">
        <v>6.2538</v>
      </c>
      <c r="G71">
        <v>19.27486</v>
      </c>
      <c r="I71">
        <v>3.1586340000000002</v>
      </c>
      <c r="J71" s="5">
        <v>9.2950159999999999E-4</v>
      </c>
      <c r="L71">
        <v>677.55820000000006</v>
      </c>
      <c r="M71" s="5">
        <v>4.7664979999999997E-5</v>
      </c>
    </row>
    <row r="72" spans="2:13" x14ac:dyDescent="0.55000000000000004">
      <c r="B72">
        <v>6.4525810000000003</v>
      </c>
      <c r="C72">
        <v>11.8568</v>
      </c>
      <c r="D72">
        <v>6.4217019999999998</v>
      </c>
      <c r="E72">
        <v>19.44989</v>
      </c>
      <c r="F72">
        <v>6.431298</v>
      </c>
      <c r="G72">
        <v>19.726939999999999</v>
      </c>
      <c r="I72">
        <v>3.2055069999999999</v>
      </c>
      <c r="J72">
        <v>1.4738049999999999E-3</v>
      </c>
      <c r="L72">
        <v>677.64400000000001</v>
      </c>
      <c r="M72" s="5">
        <v>6.958105E-5</v>
      </c>
    </row>
    <row r="73" spans="2:13" x14ac:dyDescent="0.55000000000000004">
      <c r="B73">
        <v>6.4658030000000002</v>
      </c>
      <c r="C73">
        <v>11.761710000000001</v>
      </c>
      <c r="D73">
        <v>6.4304040000000002</v>
      </c>
      <c r="E73">
        <v>19.447559999999999</v>
      </c>
      <c r="F73">
        <v>6.4396100000000001</v>
      </c>
      <c r="G73">
        <v>19.718769999999999</v>
      </c>
      <c r="I73">
        <v>3.249736</v>
      </c>
      <c r="J73">
        <v>2.3048320000000001E-3</v>
      </c>
      <c r="L73">
        <v>677.65589999999997</v>
      </c>
      <c r="M73" s="5">
        <v>8.0747920000000001E-5</v>
      </c>
    </row>
    <row r="74" spans="2:13" x14ac:dyDescent="0.55000000000000004">
      <c r="B74">
        <v>6.5586900000000004</v>
      </c>
      <c r="C74">
        <v>11.787229999999999</v>
      </c>
      <c r="D74">
        <v>6.5239520000000004</v>
      </c>
      <c r="E74">
        <v>19.670269999999999</v>
      </c>
      <c r="F74">
        <v>6.5325420000000003</v>
      </c>
      <c r="G74">
        <v>19.949639999999999</v>
      </c>
      <c r="I74">
        <v>3.2954219999999999</v>
      </c>
      <c r="J74">
        <v>3.5553120000000001E-3</v>
      </c>
    </row>
    <row r="75" spans="2:13" x14ac:dyDescent="0.55000000000000004">
      <c r="B75">
        <v>6.652692</v>
      </c>
      <c r="C75">
        <v>11.80275</v>
      </c>
      <c r="D75">
        <v>6.6180029999999999</v>
      </c>
      <c r="E75">
        <v>19.894310000000001</v>
      </c>
      <c r="F75">
        <v>6.6258090000000003</v>
      </c>
      <c r="G75">
        <v>20.173010000000001</v>
      </c>
      <c r="I75">
        <v>3.3887360000000002</v>
      </c>
      <c r="J75">
        <v>5.4284720000000002E-3</v>
      </c>
    </row>
    <row r="76" spans="2:13" x14ac:dyDescent="0.55000000000000004">
      <c r="B76">
        <v>6.7467509999999997</v>
      </c>
      <c r="C76">
        <v>11.8201</v>
      </c>
      <c r="D76">
        <v>6.7106589999999997</v>
      </c>
      <c r="E76">
        <v>20.11035</v>
      </c>
      <c r="F76">
        <v>6.7177379999999998</v>
      </c>
      <c r="G76">
        <v>20.400549999999999</v>
      </c>
      <c r="I76">
        <v>3.3781099999999999</v>
      </c>
      <c r="J76">
        <v>7.3469240000000003E-3</v>
      </c>
    </row>
    <row r="77" spans="2:13" x14ac:dyDescent="0.55000000000000004">
      <c r="B77">
        <v>6.8380200000000002</v>
      </c>
      <c r="C77">
        <v>11.84179</v>
      </c>
      <c r="D77">
        <v>6.8033149999999996</v>
      </c>
      <c r="E77">
        <v>20.335059999999999</v>
      </c>
      <c r="F77">
        <v>6.8108370000000003</v>
      </c>
      <c r="G77">
        <v>20.613409999999998</v>
      </c>
      <c r="I77">
        <v>3.4417580000000001</v>
      </c>
      <c r="J77">
        <v>7.8286050000000006E-3</v>
      </c>
    </row>
    <row r="78" spans="2:13" x14ac:dyDescent="0.55000000000000004">
      <c r="B78">
        <v>6.9330259999999999</v>
      </c>
      <c r="C78">
        <v>11.871980000000001</v>
      </c>
      <c r="D78">
        <v>6.8988719999999999</v>
      </c>
      <c r="E78">
        <v>20.54609</v>
      </c>
      <c r="F78">
        <v>6.9052199999999999</v>
      </c>
      <c r="G78">
        <v>20.83128</v>
      </c>
      <c r="I78">
        <v>3.4919210000000001</v>
      </c>
      <c r="J78">
        <v>7.8408149999999992E-3</v>
      </c>
    </row>
    <row r="79" spans="2:13" x14ac:dyDescent="0.55000000000000004">
      <c r="B79">
        <v>7.0260809999999996</v>
      </c>
      <c r="C79">
        <v>11.885999999999999</v>
      </c>
      <c r="D79">
        <v>6.9907469999999998</v>
      </c>
      <c r="E79">
        <v>20.760459999999998</v>
      </c>
      <c r="F79">
        <v>6.9978740000000004</v>
      </c>
      <c r="G79">
        <v>21.047809999999998</v>
      </c>
      <c r="I79">
        <v>3.5383629999999999</v>
      </c>
      <c r="J79">
        <v>7.8612950000000008E-3</v>
      </c>
    </row>
    <row r="80" spans="2:13" x14ac:dyDescent="0.55000000000000004">
      <c r="B80">
        <v>7.1222029999999998</v>
      </c>
      <c r="C80">
        <v>11.8925</v>
      </c>
      <c r="D80">
        <v>7.0831239999999998</v>
      </c>
      <c r="E80">
        <v>20.971329999999998</v>
      </c>
      <c r="F80">
        <v>7.0873480000000004</v>
      </c>
      <c r="G80">
        <v>21.269010000000002</v>
      </c>
      <c r="I80">
        <v>3.5847500000000001</v>
      </c>
      <c r="J80">
        <v>7.882956E-3</v>
      </c>
    </row>
    <row r="81" spans="2:10" x14ac:dyDescent="0.55000000000000004">
      <c r="B81">
        <v>7.216596</v>
      </c>
      <c r="C81">
        <v>11.91586</v>
      </c>
      <c r="D81">
        <v>7.1747199999999998</v>
      </c>
      <c r="E81">
        <v>21.180859999999999</v>
      </c>
      <c r="F81">
        <v>7.1824000000000003</v>
      </c>
      <c r="G81">
        <v>21.479869999999998</v>
      </c>
      <c r="I81">
        <v>3.6301109999999999</v>
      </c>
      <c r="J81">
        <v>7.9664530000000001E-3</v>
      </c>
    </row>
    <row r="82" spans="2:10" x14ac:dyDescent="0.55000000000000004">
      <c r="B82">
        <v>7.308535</v>
      </c>
      <c r="C82">
        <v>11.95106</v>
      </c>
      <c r="D82">
        <v>7.2677110000000003</v>
      </c>
      <c r="E82">
        <v>21.400069999999999</v>
      </c>
      <c r="F82">
        <v>7.276783</v>
      </c>
      <c r="G82">
        <v>21.692060000000001</v>
      </c>
      <c r="I82">
        <v>3.6707809999999998</v>
      </c>
      <c r="J82">
        <v>8.0976060000000002E-3</v>
      </c>
    </row>
    <row r="83" spans="2:10" x14ac:dyDescent="0.55000000000000004">
      <c r="B83">
        <v>7.4028720000000003</v>
      </c>
      <c r="C83">
        <v>11.95557</v>
      </c>
      <c r="D83">
        <v>7.3596969999999997</v>
      </c>
      <c r="E83">
        <v>21.605589999999999</v>
      </c>
      <c r="F83">
        <v>7.3673169999999999</v>
      </c>
      <c r="G83">
        <v>21.90709</v>
      </c>
      <c r="I83">
        <v>3.7097790000000002</v>
      </c>
      <c r="J83">
        <v>8.1996139999999992E-3</v>
      </c>
    </row>
    <row r="84" spans="2:10" x14ac:dyDescent="0.55000000000000004">
      <c r="B84">
        <v>7.4977109999999998</v>
      </c>
      <c r="C84">
        <v>11.978590000000001</v>
      </c>
      <c r="D84">
        <v>7.4565929999999998</v>
      </c>
      <c r="E84">
        <v>21.8218</v>
      </c>
      <c r="F84">
        <v>7.460807</v>
      </c>
      <c r="G84">
        <v>22.12228</v>
      </c>
      <c r="I84">
        <v>3.8043879999999999</v>
      </c>
      <c r="J84">
        <v>8.2779900000000007E-3</v>
      </c>
    </row>
    <row r="85" spans="2:10" x14ac:dyDescent="0.55000000000000004">
      <c r="B85">
        <v>7.5902079999999996</v>
      </c>
      <c r="C85">
        <v>11.990600000000001</v>
      </c>
      <c r="D85">
        <v>7.5511460000000001</v>
      </c>
      <c r="E85">
        <v>22.023820000000001</v>
      </c>
      <c r="F85">
        <v>7.5536279999999998</v>
      </c>
      <c r="G85">
        <v>22.32347</v>
      </c>
      <c r="I85">
        <v>3.7875580000000002</v>
      </c>
      <c r="J85">
        <v>8.3744839999999997E-3</v>
      </c>
    </row>
    <row r="86" spans="2:10" x14ac:dyDescent="0.55000000000000004">
      <c r="B86">
        <v>7.6825919999999996</v>
      </c>
      <c r="C86">
        <v>12.015129999999999</v>
      </c>
      <c r="D86">
        <v>7.6426860000000003</v>
      </c>
      <c r="E86">
        <v>22.22485</v>
      </c>
      <c r="F86">
        <v>7.6462820000000002</v>
      </c>
      <c r="G86">
        <v>22.528649999999999</v>
      </c>
      <c r="I86">
        <v>3.8287140000000002</v>
      </c>
      <c r="J86">
        <v>8.4319860000000007E-3</v>
      </c>
    </row>
    <row r="87" spans="2:10" x14ac:dyDescent="0.55000000000000004">
      <c r="B87">
        <v>7.7773199999999996</v>
      </c>
      <c r="C87">
        <v>12.031140000000001</v>
      </c>
      <c r="D87">
        <v>7.7377960000000003</v>
      </c>
      <c r="E87">
        <v>22.430040000000002</v>
      </c>
      <c r="F87">
        <v>7.7406090000000001</v>
      </c>
      <c r="G87">
        <v>22.734839999999998</v>
      </c>
      <c r="I87">
        <v>3.86863</v>
      </c>
      <c r="J87">
        <v>8.5072120000000001E-3</v>
      </c>
    </row>
    <row r="88" spans="2:10" x14ac:dyDescent="0.55000000000000004">
      <c r="B88">
        <v>7.8727169999999997</v>
      </c>
      <c r="C88">
        <v>12.04115</v>
      </c>
      <c r="D88">
        <v>7.8286110000000004</v>
      </c>
      <c r="E88">
        <v>22.633230000000001</v>
      </c>
      <c r="F88">
        <v>7.831366</v>
      </c>
      <c r="G88">
        <v>22.94219</v>
      </c>
      <c r="I88">
        <v>3.908274</v>
      </c>
      <c r="J88">
        <v>8.5883460000000002E-3</v>
      </c>
    </row>
    <row r="89" spans="2:10" x14ac:dyDescent="0.55000000000000004">
      <c r="B89">
        <v>7.9655490000000002</v>
      </c>
      <c r="C89">
        <v>12.074020000000001</v>
      </c>
      <c r="D89">
        <v>7.9202630000000003</v>
      </c>
      <c r="E89">
        <v>22.828579999999999</v>
      </c>
      <c r="F89">
        <v>7.9220670000000002</v>
      </c>
      <c r="G89">
        <v>23.145879999999998</v>
      </c>
      <c r="I89">
        <v>3.947597</v>
      </c>
      <c r="J89">
        <v>8.6104010000000002E-3</v>
      </c>
    </row>
    <row r="90" spans="2:10" x14ac:dyDescent="0.55000000000000004">
      <c r="B90">
        <v>8.0597740000000009</v>
      </c>
      <c r="C90">
        <v>12.07268</v>
      </c>
      <c r="D90">
        <v>8.0127520000000008</v>
      </c>
      <c r="E90">
        <v>23.023430000000001</v>
      </c>
      <c r="F90">
        <v>8.0169519999999999</v>
      </c>
      <c r="G90">
        <v>23.34423</v>
      </c>
      <c r="I90">
        <v>3.987403</v>
      </c>
      <c r="J90">
        <v>8.6521500000000008E-3</v>
      </c>
    </row>
    <row r="91" spans="2:10" x14ac:dyDescent="0.55000000000000004">
      <c r="B91">
        <v>8.1525499999999997</v>
      </c>
      <c r="C91">
        <v>12.0852</v>
      </c>
      <c r="D91">
        <v>8.1129940000000005</v>
      </c>
      <c r="E91">
        <v>23.236139999999999</v>
      </c>
      <c r="F91">
        <v>8.1104970000000005</v>
      </c>
      <c r="G91">
        <v>23.54241</v>
      </c>
      <c r="I91">
        <v>4.0280719999999999</v>
      </c>
      <c r="J91">
        <v>8.644667E-3</v>
      </c>
    </row>
    <row r="92" spans="2:10" x14ac:dyDescent="0.55000000000000004">
      <c r="B92">
        <v>8.2470540000000003</v>
      </c>
      <c r="C92">
        <v>12.09721</v>
      </c>
      <c r="D92">
        <v>8.2043680000000005</v>
      </c>
      <c r="E92">
        <v>23.436160000000001</v>
      </c>
      <c r="F92">
        <v>8.2035979999999995</v>
      </c>
      <c r="G92">
        <v>23.74025</v>
      </c>
      <c r="I92">
        <v>4.0671229999999996</v>
      </c>
      <c r="J92">
        <v>8.7254059999999998E-3</v>
      </c>
    </row>
    <row r="93" spans="2:10" x14ac:dyDescent="0.55000000000000004">
      <c r="B93">
        <v>8.3424510000000005</v>
      </c>
      <c r="C93">
        <v>12.11739</v>
      </c>
      <c r="D93">
        <v>8.2960200000000004</v>
      </c>
      <c r="E93">
        <v>23.635850000000001</v>
      </c>
      <c r="F93">
        <v>8.2945779999999996</v>
      </c>
      <c r="G93">
        <v>23.938929999999999</v>
      </c>
      <c r="I93">
        <v>4.164104</v>
      </c>
      <c r="J93">
        <v>8.7785759999999997E-3</v>
      </c>
    </row>
    <row r="94" spans="2:10" x14ac:dyDescent="0.55000000000000004">
      <c r="B94">
        <v>8.4371229999999997</v>
      </c>
      <c r="C94">
        <v>12.130739999999999</v>
      </c>
      <c r="D94">
        <v>8.3906279999999995</v>
      </c>
      <c r="E94">
        <v>23.823519999999998</v>
      </c>
      <c r="F94">
        <v>8.3854469999999992</v>
      </c>
      <c r="G94">
        <v>24.138950000000001</v>
      </c>
      <c r="I94">
        <v>4.141667</v>
      </c>
      <c r="J94">
        <v>8.8104780000000001E-3</v>
      </c>
    </row>
    <row r="95" spans="2:10" x14ac:dyDescent="0.55000000000000004">
      <c r="B95">
        <v>8.6438170000000003</v>
      </c>
      <c r="C95">
        <v>12.230510000000001</v>
      </c>
      <c r="D95">
        <v>8.5941810000000007</v>
      </c>
      <c r="E95">
        <v>24.293130000000001</v>
      </c>
      <c r="F95">
        <v>8.5908359999999995</v>
      </c>
      <c r="G95">
        <v>24.608709999999999</v>
      </c>
      <c r="I95">
        <v>4.1813659999999997</v>
      </c>
      <c r="J95">
        <v>8.7962990000000005E-3</v>
      </c>
    </row>
    <row r="96" spans="2:10" x14ac:dyDescent="0.55000000000000004">
      <c r="B96">
        <v>8.6243479999999995</v>
      </c>
      <c r="C96">
        <v>12.149760000000001</v>
      </c>
      <c r="D96">
        <v>8.5784500000000001</v>
      </c>
      <c r="E96">
        <v>24.20889</v>
      </c>
      <c r="F96">
        <v>8.5735989999999997</v>
      </c>
      <c r="G96">
        <v>24.521460000000001</v>
      </c>
    </row>
    <row r="97" spans="2:7" x14ac:dyDescent="0.55000000000000004">
      <c r="B97">
        <v>8.7175130000000003</v>
      </c>
      <c r="C97">
        <v>12.15643</v>
      </c>
      <c r="D97">
        <v>8.6699909999999996</v>
      </c>
      <c r="E97">
        <v>24.399570000000001</v>
      </c>
      <c r="F97">
        <v>8.6644120000000004</v>
      </c>
      <c r="G97">
        <v>24.72081</v>
      </c>
    </row>
    <row r="98" spans="2:7" x14ac:dyDescent="0.55000000000000004">
      <c r="B98">
        <v>8.8133009999999992</v>
      </c>
      <c r="C98">
        <v>12.1531</v>
      </c>
      <c r="D98">
        <v>8.7623669999999994</v>
      </c>
      <c r="E98">
        <v>24.591419999999999</v>
      </c>
      <c r="F98">
        <v>8.758013</v>
      </c>
      <c r="G98">
        <v>24.911149999999999</v>
      </c>
    </row>
    <row r="99" spans="2:7" x14ac:dyDescent="0.55000000000000004">
      <c r="B99">
        <v>8.9058530000000005</v>
      </c>
      <c r="C99">
        <v>12.166779999999999</v>
      </c>
      <c r="D99">
        <v>8.8575330000000001</v>
      </c>
      <c r="E99">
        <v>24.77692</v>
      </c>
      <c r="F99">
        <v>8.8512799999999991</v>
      </c>
      <c r="G99">
        <v>25.095320000000001</v>
      </c>
    </row>
    <row r="100" spans="2:7" x14ac:dyDescent="0.55000000000000004">
      <c r="B100">
        <v>9.0013059999999996</v>
      </c>
      <c r="C100">
        <v>12.170780000000001</v>
      </c>
      <c r="D100">
        <v>8.9499110000000002</v>
      </c>
      <c r="E100">
        <v>24.95693</v>
      </c>
      <c r="F100">
        <v>8.9457749999999994</v>
      </c>
      <c r="G100">
        <v>25.285489999999999</v>
      </c>
    </row>
    <row r="101" spans="2:7" x14ac:dyDescent="0.55000000000000004">
      <c r="B101">
        <v>9.0935790000000001</v>
      </c>
      <c r="C101">
        <v>12.170450000000001</v>
      </c>
      <c r="D101">
        <v>9.0409489999999995</v>
      </c>
      <c r="E101">
        <v>25.151610000000002</v>
      </c>
      <c r="F101">
        <v>9.0379819999999995</v>
      </c>
      <c r="G101">
        <v>25.474989999999998</v>
      </c>
    </row>
    <row r="102" spans="2:7" x14ac:dyDescent="0.55000000000000004">
      <c r="B102">
        <v>9.190372</v>
      </c>
      <c r="C102">
        <v>12.173780000000001</v>
      </c>
      <c r="D102">
        <v>9.1342739999999996</v>
      </c>
      <c r="E102">
        <v>25.334779999999999</v>
      </c>
      <c r="F102">
        <v>9.131138</v>
      </c>
      <c r="G102">
        <v>25.661660000000001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A1E30-FA14-4806-9407-5FDEC9631739}">
  <dimension ref="B1:M144"/>
  <sheetViews>
    <sheetView topLeftCell="E124" zoomScale="99" zoomScaleNormal="55" workbookViewId="0">
      <selection activeCell="V10" sqref="V10"/>
    </sheetView>
  </sheetViews>
  <sheetFormatPr defaultRowHeight="18" x14ac:dyDescent="0.55000000000000004"/>
  <cols>
    <col min="1" max="1" width="3.5" customWidth="1"/>
    <col min="2" max="7" width="8.75" bestFit="1" customWidth="1"/>
    <col min="8" max="8" width="3" customWidth="1"/>
    <col min="9" max="9" width="8.75" bestFit="1" customWidth="1"/>
    <col min="10" max="10" width="9.5" bestFit="1" customWidth="1"/>
    <col min="11" max="11" width="3.25" customWidth="1"/>
    <col min="12" max="12" width="8.75" bestFit="1" customWidth="1"/>
    <col min="13" max="13" width="9.5" bestFit="1" customWidth="1"/>
  </cols>
  <sheetData>
    <row r="1" spans="2:13" x14ac:dyDescent="0.55000000000000004">
      <c r="B1" t="s">
        <v>0</v>
      </c>
      <c r="D1" t="s">
        <v>3</v>
      </c>
      <c r="F1" t="s">
        <v>4</v>
      </c>
      <c r="I1" t="s">
        <v>5</v>
      </c>
      <c r="L1" t="s">
        <v>7</v>
      </c>
    </row>
    <row r="2" spans="2:13" x14ac:dyDescent="0.55000000000000004">
      <c r="B2" t="s">
        <v>1</v>
      </c>
      <c r="C2" t="s">
        <v>2</v>
      </c>
      <c r="D2" t="s">
        <v>1</v>
      </c>
      <c r="E2" t="s">
        <v>2</v>
      </c>
      <c r="F2" t="s">
        <v>1</v>
      </c>
      <c r="G2" t="s">
        <v>2</v>
      </c>
      <c r="I2" t="s">
        <v>6</v>
      </c>
      <c r="J2" t="s">
        <v>2</v>
      </c>
      <c r="L2" t="s">
        <v>1</v>
      </c>
      <c r="M2" t="s">
        <v>2</v>
      </c>
    </row>
    <row r="3" spans="2:13" x14ac:dyDescent="0.55000000000000004">
      <c r="B3" s="5">
        <v>9.9297990000000004E-4</v>
      </c>
      <c r="C3">
        <v>-5.4838559999999996E-3</v>
      </c>
      <c r="D3" s="5">
        <v>9.9301209999999997E-4</v>
      </c>
      <c r="E3">
        <v>-6.3186240000000001E-3</v>
      </c>
      <c r="F3">
        <v>-1.1264459999999999E-3</v>
      </c>
      <c r="G3">
        <v>-4.9854920000000002E-3</v>
      </c>
      <c r="I3">
        <v>4.0769580000000003E-3</v>
      </c>
      <c r="J3" s="5">
        <v>1.661798E-4</v>
      </c>
      <c r="L3">
        <v>9.1754870000000002E-2</v>
      </c>
      <c r="M3" s="4">
        <v>-8.1688370000000002E-8</v>
      </c>
    </row>
    <row r="4" spans="2:13" x14ac:dyDescent="0.55000000000000004">
      <c r="B4">
        <v>9.3430180000000002E-2</v>
      </c>
      <c r="C4">
        <v>-3.8155749999999999E-3</v>
      </c>
      <c r="D4">
        <v>9.3315300000000004E-2</v>
      </c>
      <c r="E4">
        <v>-4.1499309999999999E-3</v>
      </c>
      <c r="F4">
        <v>9.2187259999999993E-2</v>
      </c>
      <c r="G4">
        <v>-4.31825E-3</v>
      </c>
      <c r="I4">
        <v>4.5018200000000001E-2</v>
      </c>
      <c r="J4" s="4">
        <v>-1.574642E-6</v>
      </c>
      <c r="L4">
        <v>9.8975310000000007</v>
      </c>
      <c r="M4" s="5">
        <v>8.7590940000000001E-8</v>
      </c>
    </row>
    <row r="5" spans="2:13" x14ac:dyDescent="0.55000000000000004">
      <c r="B5">
        <v>0.18692729999999999</v>
      </c>
      <c r="C5">
        <v>-3.1482620000000002E-3</v>
      </c>
      <c r="D5">
        <v>0.18647430000000001</v>
      </c>
      <c r="E5">
        <v>-3.3158189999999998E-3</v>
      </c>
      <c r="F5">
        <v>0.1870626</v>
      </c>
      <c r="G5">
        <v>-6.3199750000000002E-3</v>
      </c>
      <c r="I5">
        <v>8.8980199999999995E-2</v>
      </c>
      <c r="J5" s="4">
        <v>-1.1813179999999999E-5</v>
      </c>
      <c r="L5">
        <v>19.893519999999999</v>
      </c>
      <c r="M5" s="4">
        <v>-8.0541770000000007E-9</v>
      </c>
    </row>
    <row r="6" spans="2:13" x14ac:dyDescent="0.55000000000000004">
      <c r="B6">
        <v>0.28008959999999999</v>
      </c>
      <c r="C6" s="5">
        <v>3.5512800000000002E-4</v>
      </c>
      <c r="D6">
        <v>0.28063739999999998</v>
      </c>
      <c r="E6">
        <v>-5.4845120000000004E-3</v>
      </c>
      <c r="F6">
        <v>0.27981840000000002</v>
      </c>
      <c r="G6">
        <v>-4.31825E-3</v>
      </c>
      <c r="I6">
        <v>0.13650180000000001</v>
      </c>
      <c r="J6" s="4">
        <v>-1.6538659999999999E-5</v>
      </c>
      <c r="L6">
        <v>29.945620000000002</v>
      </c>
      <c r="M6" s="4">
        <v>-4.3059959999999997E-8</v>
      </c>
    </row>
    <row r="7" spans="2:13" x14ac:dyDescent="0.55000000000000004">
      <c r="B7">
        <v>0.37598549999999997</v>
      </c>
      <c r="C7">
        <v>-4.1492309999999998E-3</v>
      </c>
      <c r="D7">
        <v>0.37552570000000002</v>
      </c>
      <c r="E7">
        <v>-4.984044E-3</v>
      </c>
      <c r="F7">
        <v>0.37268580000000001</v>
      </c>
      <c r="G7">
        <v>1.019685E-3</v>
      </c>
      <c r="I7">
        <v>0.18353939999999999</v>
      </c>
      <c r="J7" s="4">
        <v>-1.2994550000000001E-5</v>
      </c>
      <c r="L7">
        <v>40.002850000000002</v>
      </c>
      <c r="M7" s="4">
        <v>-4.9855740000000003E-8</v>
      </c>
    </row>
    <row r="8" spans="2:13" x14ac:dyDescent="0.55000000000000004">
      <c r="B8">
        <v>0.46691650000000001</v>
      </c>
      <c r="C8">
        <v>3.6916900000000001E-3</v>
      </c>
      <c r="D8">
        <v>0.4665649</v>
      </c>
      <c r="E8">
        <v>4.3580169999999996E-3</v>
      </c>
      <c r="F8">
        <v>0.46878809999999999</v>
      </c>
      <c r="G8">
        <v>-1.9829029999999998E-3</v>
      </c>
      <c r="I8">
        <v>0.2303576</v>
      </c>
      <c r="J8" s="4">
        <v>-7.8752789999999999E-6</v>
      </c>
      <c r="L8">
        <v>49.994900000000001</v>
      </c>
      <c r="M8" s="4">
        <v>-5.3029599999999997E-8</v>
      </c>
    </row>
    <row r="9" spans="2:13" x14ac:dyDescent="0.55000000000000004">
      <c r="B9">
        <v>0.55907470000000004</v>
      </c>
      <c r="C9">
        <v>1.4869169999999999E-2</v>
      </c>
      <c r="D9">
        <v>0.56234580000000001</v>
      </c>
      <c r="E9">
        <v>1.470101E-2</v>
      </c>
      <c r="F9">
        <v>0.56226900000000002</v>
      </c>
      <c r="G9">
        <v>1.453133E-2</v>
      </c>
      <c r="I9">
        <v>0.27663949999999998</v>
      </c>
      <c r="J9" s="4">
        <v>-1.0631809999999999E-5</v>
      </c>
      <c r="L9">
        <v>60.048520000000003</v>
      </c>
      <c r="M9" s="4">
        <v>-5.4093770000000001E-8</v>
      </c>
    </row>
    <row r="10" spans="2:13" x14ac:dyDescent="0.55000000000000004">
      <c r="B10">
        <v>0.65273910000000002</v>
      </c>
      <c r="C10">
        <v>3.171881E-2</v>
      </c>
      <c r="D10">
        <v>0.6549469</v>
      </c>
      <c r="E10">
        <v>6.2245429999999997E-2</v>
      </c>
      <c r="F10">
        <v>0.65496909999999997</v>
      </c>
      <c r="G10">
        <v>6.2405929999999998E-2</v>
      </c>
      <c r="I10">
        <v>0.3230286</v>
      </c>
      <c r="J10" s="4">
        <v>-1.220697E-5</v>
      </c>
      <c r="L10">
        <v>70.09393</v>
      </c>
      <c r="M10" s="4">
        <v>-5.6371480000000003E-8</v>
      </c>
    </row>
    <row r="11" spans="2:13" x14ac:dyDescent="0.55000000000000004">
      <c r="B11">
        <v>0.74221959999999998</v>
      </c>
      <c r="C11">
        <v>6.0079590000000002E-2</v>
      </c>
      <c r="D11">
        <v>0.74487049999999999</v>
      </c>
      <c r="E11">
        <v>0.15299689999999999</v>
      </c>
      <c r="F11">
        <v>0.74666509999999997</v>
      </c>
      <c r="G11">
        <v>0.1606573</v>
      </c>
      <c r="I11">
        <v>0.36931039999999998</v>
      </c>
      <c r="J11" s="4">
        <v>-1.6538659999999999E-5</v>
      </c>
      <c r="L11">
        <v>80.10087</v>
      </c>
      <c r="M11" s="4">
        <v>-5.7211620000000001E-8</v>
      </c>
    </row>
    <row r="12" spans="2:13" x14ac:dyDescent="0.55000000000000004">
      <c r="B12">
        <v>0.83404310000000004</v>
      </c>
      <c r="C12">
        <v>8.0599450000000003E-2</v>
      </c>
      <c r="D12">
        <v>0.83663489999999996</v>
      </c>
      <c r="E12">
        <v>0.28345209999999998</v>
      </c>
      <c r="F12">
        <v>0.84142890000000004</v>
      </c>
      <c r="G12">
        <v>0.31378929999999999</v>
      </c>
      <c r="I12">
        <v>0.42281869999999999</v>
      </c>
      <c r="J12" s="4">
        <v>-7.4814890000000002E-6</v>
      </c>
      <c r="L12">
        <v>90.161069999999995</v>
      </c>
      <c r="M12" s="4">
        <v>-5.821979E-8</v>
      </c>
    </row>
    <row r="13" spans="2:13" x14ac:dyDescent="0.55000000000000004">
      <c r="B13">
        <v>0.92765180000000003</v>
      </c>
      <c r="C13">
        <v>9.2277419999999999E-2</v>
      </c>
      <c r="D13">
        <v>0.92678159999999998</v>
      </c>
      <c r="E13">
        <v>0.47196149999999998</v>
      </c>
      <c r="F13">
        <v>0.93424050000000003</v>
      </c>
      <c r="G13">
        <v>0.54482169999999996</v>
      </c>
      <c r="I13">
        <v>0.4635978</v>
      </c>
      <c r="J13" s="4">
        <v>-1.141939E-5</v>
      </c>
      <c r="L13">
        <v>100.2084</v>
      </c>
      <c r="M13" s="4">
        <v>-5.7678370000000001E-8</v>
      </c>
    </row>
    <row r="14" spans="2:13" x14ac:dyDescent="0.55000000000000004">
      <c r="B14">
        <v>1.0178020000000001</v>
      </c>
      <c r="C14">
        <v>0.10745879999999999</v>
      </c>
      <c r="D14">
        <v>1.0105690000000001</v>
      </c>
      <c r="E14">
        <v>0.71368739999999997</v>
      </c>
      <c r="F14">
        <v>1.024375</v>
      </c>
      <c r="G14">
        <v>0.8624288</v>
      </c>
      <c r="I14">
        <v>0.5097699</v>
      </c>
      <c r="J14" s="4">
        <v>-1.5751080000000001E-5</v>
      </c>
      <c r="L14">
        <v>110.2051</v>
      </c>
      <c r="M14" s="4">
        <v>-5.795841E-8</v>
      </c>
    </row>
    <row r="15" spans="2:13" x14ac:dyDescent="0.55000000000000004">
      <c r="B15">
        <v>1.1139209999999999</v>
      </c>
      <c r="C15">
        <v>0.1066246</v>
      </c>
      <c r="D15">
        <v>1.0982050000000001</v>
      </c>
      <c r="E15">
        <v>0.99361549999999998</v>
      </c>
      <c r="F15">
        <v>1.1169629999999999</v>
      </c>
      <c r="G15">
        <v>1.2545999999999999</v>
      </c>
      <c r="I15">
        <v>0.55588959999999998</v>
      </c>
      <c r="J15" s="4">
        <v>-7.8706220000000005E-7</v>
      </c>
      <c r="L15">
        <v>120.2589</v>
      </c>
      <c r="M15" s="4">
        <v>-5.7995749999999998E-8</v>
      </c>
    </row>
    <row r="16" spans="2:13" x14ac:dyDescent="0.55000000000000004">
      <c r="B16">
        <v>1.2074739999999999</v>
      </c>
      <c r="C16">
        <v>0.11162950000000001</v>
      </c>
      <c r="D16">
        <v>1.182941</v>
      </c>
      <c r="E16">
        <v>1.321088</v>
      </c>
      <c r="F16">
        <v>1.209217</v>
      </c>
      <c r="G16">
        <v>1.7268410000000001</v>
      </c>
      <c r="I16">
        <v>0.60276510000000005</v>
      </c>
      <c r="J16" s="4">
        <v>-1.5357289999999999E-5</v>
      </c>
      <c r="L16">
        <v>130.30260000000001</v>
      </c>
      <c r="M16" s="4">
        <v>-5.730497E-8</v>
      </c>
    </row>
    <row r="17" spans="2:13" x14ac:dyDescent="0.55000000000000004">
      <c r="B17">
        <v>1.299688</v>
      </c>
      <c r="C17">
        <v>0.115967</v>
      </c>
      <c r="D17">
        <v>1.2715259999999999</v>
      </c>
      <c r="E17">
        <v>1.720294</v>
      </c>
      <c r="F17">
        <v>1.300802</v>
      </c>
      <c r="G17">
        <v>2.2773150000000002</v>
      </c>
      <c r="I17">
        <v>0.64936879999999997</v>
      </c>
      <c r="J17" s="4">
        <v>-1.929518E-5</v>
      </c>
      <c r="L17">
        <v>140.31909999999999</v>
      </c>
      <c r="M17" s="4">
        <v>-5.8499840000000003E-8</v>
      </c>
    </row>
    <row r="18" spans="2:13" x14ac:dyDescent="0.55000000000000004">
      <c r="B18">
        <v>1.39391</v>
      </c>
      <c r="C18">
        <v>0.1147992</v>
      </c>
      <c r="D18">
        <v>1.3603890000000001</v>
      </c>
      <c r="E18">
        <v>2.158204</v>
      </c>
      <c r="F18">
        <v>1.3910480000000001</v>
      </c>
      <c r="G18">
        <v>2.8986839999999998</v>
      </c>
      <c r="I18">
        <v>0.69651370000000001</v>
      </c>
      <c r="J18" s="4">
        <v>-6.3001199999999997E-6</v>
      </c>
      <c r="L18">
        <v>150.35910000000001</v>
      </c>
      <c r="M18" s="4">
        <v>-5.8257129999999999E-8</v>
      </c>
    </row>
    <row r="19" spans="2:13" x14ac:dyDescent="0.55000000000000004">
      <c r="B19">
        <v>1.4872399999999999</v>
      </c>
      <c r="C19">
        <v>0.12030449999999999</v>
      </c>
      <c r="D19">
        <v>1.4463520000000001</v>
      </c>
      <c r="E19">
        <v>2.6052879999999998</v>
      </c>
      <c r="F19">
        <v>1.4826319999999999</v>
      </c>
      <c r="G19">
        <v>3.5892789999999999</v>
      </c>
      <c r="I19">
        <v>0.74252370000000001</v>
      </c>
      <c r="J19" s="4">
        <v>-1.378213E-5</v>
      </c>
      <c r="L19">
        <v>160.40649999999999</v>
      </c>
      <c r="M19" s="4">
        <v>-5.8294469999999997E-8</v>
      </c>
    </row>
    <row r="20" spans="2:13" x14ac:dyDescent="0.55000000000000004">
      <c r="B20">
        <v>1.5814619999999999</v>
      </c>
      <c r="C20">
        <v>0.1161338</v>
      </c>
      <c r="D20">
        <v>1.530195</v>
      </c>
      <c r="E20">
        <v>3.0750600000000001</v>
      </c>
      <c r="F20">
        <v>1.5697540000000001</v>
      </c>
      <c r="G20">
        <v>4.3397589999999999</v>
      </c>
      <c r="I20">
        <v>0.78875059999999997</v>
      </c>
      <c r="J20" s="4">
        <v>-9.0566489999999997E-6</v>
      </c>
      <c r="L20">
        <v>170.41489999999999</v>
      </c>
      <c r="M20" s="4">
        <v>-5.8481170000000001E-8</v>
      </c>
    </row>
    <row r="21" spans="2:13" x14ac:dyDescent="0.55000000000000004">
      <c r="B21">
        <v>1.6751259999999999</v>
      </c>
      <c r="C21">
        <v>0.1206382</v>
      </c>
      <c r="D21">
        <v>1.6158239999999999</v>
      </c>
      <c r="E21">
        <v>3.5985490000000002</v>
      </c>
      <c r="F21">
        <v>1.6615059999999999</v>
      </c>
      <c r="G21">
        <v>5.1347779999999998</v>
      </c>
      <c r="I21">
        <v>0.84625240000000002</v>
      </c>
      <c r="J21" s="5">
        <v>5.1750160000000002E-10</v>
      </c>
      <c r="L21">
        <v>180.45509999999999</v>
      </c>
      <c r="M21" s="4">
        <v>-5.8294469999999997E-8</v>
      </c>
    </row>
    <row r="22" spans="2:13" x14ac:dyDescent="0.55000000000000004">
      <c r="B22">
        <v>1.7696829999999999</v>
      </c>
      <c r="C22">
        <v>0.1194704</v>
      </c>
      <c r="D22">
        <v>1.704297</v>
      </c>
      <c r="E22">
        <v>4.1462269999999997</v>
      </c>
      <c r="F22">
        <v>1.752812</v>
      </c>
      <c r="G22">
        <v>5.9811740000000002</v>
      </c>
      <c r="I22">
        <v>0.88228459999999997</v>
      </c>
      <c r="J22" s="4">
        <v>-1.1813179999999999E-5</v>
      </c>
      <c r="L22">
        <v>190.51830000000001</v>
      </c>
      <c r="M22" s="4">
        <v>-5.8649189999999999E-8</v>
      </c>
    </row>
    <row r="23" spans="2:13" x14ac:dyDescent="0.55000000000000004">
      <c r="B23">
        <v>1.86134</v>
      </c>
      <c r="C23">
        <v>0.1248089</v>
      </c>
      <c r="D23">
        <v>1.793941</v>
      </c>
      <c r="E23">
        <v>4.7342769999999996</v>
      </c>
      <c r="F23">
        <v>1.8420540000000001</v>
      </c>
      <c r="G23">
        <v>6.8664370000000003</v>
      </c>
      <c r="I23">
        <v>0.92808009999999996</v>
      </c>
      <c r="J23" s="4">
        <v>-1.614487E-5</v>
      </c>
      <c r="L23">
        <v>200.5138</v>
      </c>
      <c r="M23" s="4">
        <v>-5.7995749999999998E-8</v>
      </c>
    </row>
    <row r="24" spans="2:13" x14ac:dyDescent="0.55000000000000004">
      <c r="B24">
        <v>1.95824</v>
      </c>
      <c r="C24">
        <v>0.11997090000000001</v>
      </c>
      <c r="D24">
        <v>1.8871560000000001</v>
      </c>
      <c r="E24">
        <v>5.3725399999999999</v>
      </c>
      <c r="F24">
        <v>1.9324669999999999</v>
      </c>
      <c r="G24">
        <v>7.7972400000000004</v>
      </c>
      <c r="I24">
        <v>0.97538709999999995</v>
      </c>
      <c r="J24" s="4">
        <v>-7.8752789999999999E-6</v>
      </c>
      <c r="L24">
        <v>210.5684</v>
      </c>
      <c r="M24" s="4">
        <v>-5.8779880000000002E-8</v>
      </c>
    </row>
    <row r="25" spans="2:13" x14ac:dyDescent="0.55000000000000004">
      <c r="B25">
        <v>2.0510670000000002</v>
      </c>
      <c r="C25">
        <v>0.12247329999999999</v>
      </c>
      <c r="D25">
        <v>1.978307</v>
      </c>
      <c r="E25">
        <v>5.9886150000000002</v>
      </c>
      <c r="F25">
        <v>2.021207</v>
      </c>
      <c r="G25">
        <v>8.7589020000000009</v>
      </c>
      <c r="I25">
        <v>1.0203720000000001</v>
      </c>
      <c r="J25" s="4">
        <v>-2.756011E-6</v>
      </c>
      <c r="L25">
        <v>220.61619999999999</v>
      </c>
      <c r="M25" s="4">
        <v>-5.8350479999999997E-8</v>
      </c>
    </row>
    <row r="26" spans="2:13" x14ac:dyDescent="0.55000000000000004">
      <c r="B26">
        <v>2.1716760000000002</v>
      </c>
      <c r="C26">
        <v>0.1211387</v>
      </c>
      <c r="D26">
        <v>2.091771</v>
      </c>
      <c r="E26">
        <v>6.722467</v>
      </c>
      <c r="F26">
        <v>2.1376119999999998</v>
      </c>
      <c r="G26">
        <v>9.9180679999999999</v>
      </c>
      <c r="I26">
        <v>1.067841</v>
      </c>
      <c r="J26" s="4">
        <v>-1.1813179999999999E-5</v>
      </c>
      <c r="L26">
        <v>230.61709999999999</v>
      </c>
      <c r="M26" s="4">
        <v>-5.762236E-8</v>
      </c>
    </row>
    <row r="27" spans="2:13" x14ac:dyDescent="0.55000000000000004">
      <c r="B27">
        <v>2.2397909999999999</v>
      </c>
      <c r="C27">
        <v>0.1221397</v>
      </c>
      <c r="D27">
        <v>2.1576520000000001</v>
      </c>
      <c r="E27">
        <v>7.265809</v>
      </c>
      <c r="F27">
        <v>2.1986309999999998</v>
      </c>
      <c r="G27">
        <v>10.767469999999999</v>
      </c>
      <c r="I27">
        <v>1.1147689999999999</v>
      </c>
      <c r="J27" s="4">
        <v>-1.614487E-5</v>
      </c>
      <c r="L27">
        <v>240.672</v>
      </c>
      <c r="M27" s="4">
        <v>-5.7715709999999999E-8</v>
      </c>
    </row>
    <row r="28" spans="2:13" x14ac:dyDescent="0.55000000000000004">
      <c r="B28">
        <v>2.3333439999999999</v>
      </c>
      <c r="C28">
        <v>0.1243084</v>
      </c>
      <c r="D28">
        <v>2.2500300000000002</v>
      </c>
      <c r="E28">
        <v>7.9189189999999998</v>
      </c>
      <c r="F28">
        <v>2.2897690000000002</v>
      </c>
      <c r="G28">
        <v>11.80269</v>
      </c>
      <c r="I28">
        <v>1.1609959999999999</v>
      </c>
      <c r="J28" s="4">
        <v>-1.49635E-5</v>
      </c>
      <c r="L28">
        <v>250.72829999999999</v>
      </c>
      <c r="M28" s="4">
        <v>-5.7715709999999999E-8</v>
      </c>
    </row>
    <row r="29" spans="2:13" x14ac:dyDescent="0.55000000000000004">
      <c r="B29">
        <v>2.4280119999999998</v>
      </c>
      <c r="C29">
        <v>0.12530939999999999</v>
      </c>
      <c r="D29">
        <v>2.3374429999999999</v>
      </c>
      <c r="E29">
        <v>8.5698600000000003</v>
      </c>
      <c r="F29">
        <v>2.3787880000000001</v>
      </c>
      <c r="G29">
        <v>12.862439999999999</v>
      </c>
      <c r="I29">
        <v>1.2072229999999999</v>
      </c>
      <c r="J29" s="4">
        <v>-4.7249600000000002E-6</v>
      </c>
      <c r="L29">
        <v>260.72329999999999</v>
      </c>
      <c r="M29" s="4">
        <v>-5.6875570000000001E-8</v>
      </c>
    </row>
    <row r="30" spans="2:13" x14ac:dyDescent="0.55000000000000004">
      <c r="B30">
        <v>2.5228480000000002</v>
      </c>
      <c r="C30">
        <v>0.1233075</v>
      </c>
      <c r="D30">
        <v>2.4301560000000002</v>
      </c>
      <c r="E30">
        <v>9.2179649999999995</v>
      </c>
      <c r="F30">
        <v>2.4665240000000002</v>
      </c>
      <c r="G30">
        <v>13.93153</v>
      </c>
      <c r="I30">
        <v>1.271412</v>
      </c>
      <c r="J30" s="5">
        <v>1.9694670000000001E-6</v>
      </c>
      <c r="L30">
        <v>270.76560000000001</v>
      </c>
      <c r="M30" s="4">
        <v>-5.6856899999999999E-8</v>
      </c>
    </row>
    <row r="31" spans="2:13" x14ac:dyDescent="0.55000000000000004">
      <c r="B31">
        <v>2.615955</v>
      </c>
      <c r="C31">
        <v>0.1248089</v>
      </c>
      <c r="D31">
        <v>2.518964</v>
      </c>
      <c r="E31">
        <v>9.885256</v>
      </c>
      <c r="F31">
        <v>2.555822</v>
      </c>
      <c r="G31">
        <v>15.01646</v>
      </c>
      <c r="I31">
        <v>1.299677</v>
      </c>
      <c r="J31" s="4">
        <v>-9.4504380000000008E-6</v>
      </c>
      <c r="L31">
        <v>280.81819999999999</v>
      </c>
      <c r="M31" s="4">
        <v>-5.6464830000000002E-8</v>
      </c>
    </row>
    <row r="32" spans="2:13" x14ac:dyDescent="0.55000000000000004">
      <c r="B32">
        <v>2.710121</v>
      </c>
      <c r="C32">
        <v>0.1241416</v>
      </c>
      <c r="D32">
        <v>2.6108959999999999</v>
      </c>
      <c r="E32">
        <v>10.528359999999999</v>
      </c>
      <c r="F32">
        <v>2.6450640000000001</v>
      </c>
      <c r="G32">
        <v>16.107240000000001</v>
      </c>
      <c r="I32">
        <v>1.3459589999999999</v>
      </c>
      <c r="J32" s="4">
        <v>-1.49635E-5</v>
      </c>
      <c r="L32">
        <v>290.82749999999999</v>
      </c>
      <c r="M32" s="4">
        <v>-5.6614190000000001E-8</v>
      </c>
    </row>
    <row r="33" spans="2:13" x14ac:dyDescent="0.55000000000000004">
      <c r="B33">
        <v>2.8016100000000002</v>
      </c>
      <c r="C33">
        <v>0.12764500000000001</v>
      </c>
      <c r="D33">
        <v>2.6998709999999999</v>
      </c>
      <c r="E33">
        <v>11.16779</v>
      </c>
      <c r="F33">
        <v>2.7332459999999998</v>
      </c>
      <c r="G33">
        <v>17.197009999999999</v>
      </c>
      <c r="I33">
        <v>1.3931560000000001</v>
      </c>
      <c r="J33" s="4">
        <v>-8.2690690000000004E-6</v>
      </c>
      <c r="L33">
        <v>300.88260000000002</v>
      </c>
      <c r="M33" s="4">
        <v>-5.6894239999999997E-8</v>
      </c>
    </row>
    <row r="34" spans="2:13" x14ac:dyDescent="0.55000000000000004">
      <c r="B34">
        <v>2.8973390000000001</v>
      </c>
      <c r="C34">
        <v>0.12747820000000001</v>
      </c>
      <c r="D34">
        <v>2.792751</v>
      </c>
      <c r="E34">
        <v>11.798209999999999</v>
      </c>
      <c r="F34">
        <v>2.821205</v>
      </c>
      <c r="G34">
        <v>18.28511</v>
      </c>
      <c r="I34">
        <v>1.4396519999999999</v>
      </c>
      <c r="J34" s="4">
        <v>-1.574642E-6</v>
      </c>
      <c r="L34">
        <v>310.9255</v>
      </c>
      <c r="M34" s="4">
        <v>-5.596075E-8</v>
      </c>
    </row>
    <row r="35" spans="2:13" x14ac:dyDescent="0.55000000000000004">
      <c r="B35">
        <v>2.9912260000000002</v>
      </c>
      <c r="C35">
        <v>0.1268108</v>
      </c>
      <c r="D35">
        <v>2.8838460000000001</v>
      </c>
      <c r="E35">
        <v>12.42163</v>
      </c>
      <c r="F35">
        <v>2.9077700000000002</v>
      </c>
      <c r="G35">
        <v>19.384229999999999</v>
      </c>
      <c r="I35">
        <v>1.486418</v>
      </c>
      <c r="J35" s="4">
        <v>-1.10256E-5</v>
      </c>
      <c r="L35">
        <v>320.92930000000001</v>
      </c>
      <c r="M35" s="4">
        <v>-5.6203459999999998E-8</v>
      </c>
    </row>
    <row r="36" spans="2:13" x14ac:dyDescent="0.55000000000000004">
      <c r="B36">
        <v>3.0838869999999998</v>
      </c>
      <c r="C36">
        <v>0.1319825</v>
      </c>
      <c r="D36">
        <v>2.9755539999999998</v>
      </c>
      <c r="E36">
        <v>13.050879999999999</v>
      </c>
      <c r="F36">
        <v>2.998964</v>
      </c>
      <c r="G36">
        <v>20.478000000000002</v>
      </c>
      <c r="I36">
        <v>1.5314049999999999</v>
      </c>
      <c r="J36" s="4">
        <v>-1.220697E-5</v>
      </c>
      <c r="L36">
        <v>330.97160000000002</v>
      </c>
      <c r="M36" s="4">
        <v>-5.5718040000000003E-8</v>
      </c>
    </row>
    <row r="37" spans="2:13" x14ac:dyDescent="0.55000000000000004">
      <c r="B37">
        <v>3.1790020000000001</v>
      </c>
      <c r="C37">
        <v>0.125643</v>
      </c>
      <c r="D37">
        <v>3.0677089999999998</v>
      </c>
      <c r="E37">
        <v>13.659610000000001</v>
      </c>
      <c r="F37">
        <v>3.0859749999999999</v>
      </c>
      <c r="G37">
        <v>21.578119999999998</v>
      </c>
      <c r="I37">
        <v>1.5786579999999999</v>
      </c>
      <c r="J37" s="4">
        <v>-1.4569709999999999E-5</v>
      </c>
      <c r="L37">
        <v>341.02820000000003</v>
      </c>
      <c r="M37" s="4">
        <v>-5.6147449999999998E-8</v>
      </c>
    </row>
    <row r="38" spans="2:13" x14ac:dyDescent="0.55000000000000004">
      <c r="B38">
        <v>3.2721640000000001</v>
      </c>
      <c r="C38">
        <v>0.12847910000000001</v>
      </c>
      <c r="D38">
        <v>3.1605340000000002</v>
      </c>
      <c r="E38">
        <v>14.247159999999999</v>
      </c>
      <c r="F38">
        <v>3.1726510000000001</v>
      </c>
      <c r="G38">
        <v>22.680399999999999</v>
      </c>
      <c r="I38">
        <v>1.6256930000000001</v>
      </c>
      <c r="J38" s="4">
        <v>-1.5751080000000001E-5</v>
      </c>
      <c r="L38">
        <v>351.03730000000002</v>
      </c>
      <c r="M38" s="4">
        <v>-5.596075E-8</v>
      </c>
    </row>
    <row r="39" spans="2:13" x14ac:dyDescent="0.55000000000000004">
      <c r="B39">
        <v>3.3654380000000002</v>
      </c>
      <c r="C39">
        <v>0.13164890000000001</v>
      </c>
      <c r="D39">
        <v>3.2493409999999998</v>
      </c>
      <c r="E39">
        <v>14.8217</v>
      </c>
      <c r="F39">
        <v>3.2622270000000002</v>
      </c>
      <c r="G39">
        <v>23.774180000000001</v>
      </c>
      <c r="I39">
        <v>1.6963029999999999</v>
      </c>
      <c r="J39" s="4">
        <v>-1.693244E-5</v>
      </c>
      <c r="L39">
        <v>361.08420000000001</v>
      </c>
      <c r="M39" s="4">
        <v>-5.5064600000000002E-8</v>
      </c>
    </row>
    <row r="40" spans="2:13" x14ac:dyDescent="0.55000000000000004">
      <c r="B40">
        <v>3.45966</v>
      </c>
      <c r="C40">
        <v>0.12964690000000001</v>
      </c>
      <c r="D40">
        <v>3.3424999999999998</v>
      </c>
      <c r="E40">
        <v>15.370380000000001</v>
      </c>
      <c r="F40">
        <v>3.3515809999999999</v>
      </c>
      <c r="G40">
        <v>24.87379</v>
      </c>
      <c r="I40">
        <v>1.7183090000000001</v>
      </c>
      <c r="J40" s="4">
        <v>-4.7249600000000002E-6</v>
      </c>
      <c r="L40">
        <v>371.13240000000002</v>
      </c>
      <c r="M40" s="4">
        <v>-5.4859239999999999E-8</v>
      </c>
    </row>
    <row r="41" spans="2:13" x14ac:dyDescent="0.55000000000000004">
      <c r="B41">
        <v>3.554217</v>
      </c>
      <c r="C41">
        <v>0.1321493</v>
      </c>
      <c r="D41">
        <v>3.4357150000000001</v>
      </c>
      <c r="E41">
        <v>15.909879999999999</v>
      </c>
      <c r="F41">
        <v>3.440823</v>
      </c>
      <c r="G41">
        <v>25.98058</v>
      </c>
      <c r="I41">
        <v>1.764429</v>
      </c>
      <c r="J41" s="4">
        <v>-2.362221E-6</v>
      </c>
      <c r="L41">
        <v>381.12849999999997</v>
      </c>
      <c r="M41" s="4">
        <v>-5.5419330000000001E-8</v>
      </c>
    </row>
    <row r="42" spans="2:13" x14ac:dyDescent="0.55000000000000004">
      <c r="B42">
        <v>3.647491</v>
      </c>
      <c r="C42">
        <v>0.12931329999999999</v>
      </c>
      <c r="D42">
        <v>3.524858</v>
      </c>
      <c r="E42">
        <v>16.42737</v>
      </c>
      <c r="F42">
        <v>3.5269970000000002</v>
      </c>
      <c r="G42">
        <v>27.081029999999998</v>
      </c>
      <c r="I42">
        <v>1.8115190000000001</v>
      </c>
      <c r="J42" s="4">
        <v>-1.10256E-5</v>
      </c>
      <c r="L42">
        <v>391.18509999999998</v>
      </c>
      <c r="M42" s="4">
        <v>-5.510194E-8</v>
      </c>
    </row>
    <row r="43" spans="2:13" x14ac:dyDescent="0.55000000000000004">
      <c r="B43">
        <v>3.741657</v>
      </c>
      <c r="C43">
        <v>0.13081470000000001</v>
      </c>
      <c r="D43">
        <v>3.618296</v>
      </c>
      <c r="E43">
        <v>16.906649999999999</v>
      </c>
      <c r="F43">
        <v>3.614789</v>
      </c>
      <c r="G43">
        <v>28.184480000000001</v>
      </c>
      <c r="I43">
        <v>1.857853</v>
      </c>
      <c r="J43" s="4">
        <v>-1.732624E-5</v>
      </c>
      <c r="L43">
        <v>401.23809999999997</v>
      </c>
      <c r="M43" s="4">
        <v>-5.4859239999999999E-8</v>
      </c>
    </row>
    <row r="44" spans="2:13" x14ac:dyDescent="0.55000000000000004">
      <c r="B44">
        <v>3.8342619999999998</v>
      </c>
      <c r="C44">
        <v>0.1351523</v>
      </c>
      <c r="D44">
        <v>3.708777</v>
      </c>
      <c r="E44">
        <v>17.383929999999999</v>
      </c>
      <c r="F44">
        <v>3.7052019999999999</v>
      </c>
      <c r="G44">
        <v>29.285589999999999</v>
      </c>
      <c r="I44">
        <v>1.9044589999999999</v>
      </c>
      <c r="J44" s="4">
        <v>-7.0876989999999997E-6</v>
      </c>
      <c r="L44">
        <v>411.24040000000002</v>
      </c>
      <c r="M44" s="4">
        <v>-5.4056439999999999E-8</v>
      </c>
    </row>
    <row r="45" spans="2:13" x14ac:dyDescent="0.55000000000000004">
      <c r="B45">
        <v>3.9279269999999999</v>
      </c>
      <c r="C45">
        <v>0.1319825</v>
      </c>
      <c r="D45">
        <v>3.8027730000000002</v>
      </c>
      <c r="E45">
        <v>17.815829999999998</v>
      </c>
      <c r="F45">
        <v>3.7933279999999998</v>
      </c>
      <c r="G45">
        <v>30.392050000000001</v>
      </c>
      <c r="I45">
        <v>1.9499299999999999</v>
      </c>
      <c r="J45" s="4">
        <v>-2.756011E-6</v>
      </c>
      <c r="L45">
        <v>421.28469999999999</v>
      </c>
      <c r="M45" s="4">
        <v>-5.3533679999999999E-8</v>
      </c>
    </row>
    <row r="46" spans="2:13" x14ac:dyDescent="0.55000000000000004">
      <c r="B46">
        <v>4.0236549999999998</v>
      </c>
      <c r="C46">
        <v>0.13048109999999999</v>
      </c>
      <c r="D46">
        <v>3.8958759999999999</v>
      </c>
      <c r="E46">
        <v>18.230219999999999</v>
      </c>
      <c r="F46">
        <v>3.881176</v>
      </c>
      <c r="G46">
        <v>31.510850000000001</v>
      </c>
      <c r="I46">
        <v>1.99702</v>
      </c>
      <c r="J46" s="4">
        <v>-1.0238020000000001E-5</v>
      </c>
      <c r="L46">
        <v>431.34309999999999</v>
      </c>
      <c r="M46" s="4">
        <v>-5.344033E-8</v>
      </c>
    </row>
    <row r="47" spans="2:13" x14ac:dyDescent="0.55000000000000004">
      <c r="B47">
        <v>4.1164829999999997</v>
      </c>
      <c r="C47">
        <v>0.13181570000000001</v>
      </c>
      <c r="D47">
        <v>3.9879199999999999</v>
      </c>
      <c r="E47">
        <v>18.635259999999999</v>
      </c>
      <c r="F47">
        <v>3.9699719999999998</v>
      </c>
      <c r="G47">
        <v>32.633650000000003</v>
      </c>
      <c r="I47">
        <v>2.044003</v>
      </c>
      <c r="J47" s="4">
        <v>-1.732624E-5</v>
      </c>
      <c r="L47">
        <v>441.339</v>
      </c>
      <c r="M47" s="4">
        <v>-5.390708E-8</v>
      </c>
    </row>
    <row r="48" spans="2:13" x14ac:dyDescent="0.55000000000000004">
      <c r="B48">
        <v>4.2086969999999999</v>
      </c>
      <c r="C48">
        <v>0.13581960000000001</v>
      </c>
      <c r="D48">
        <v>4.0806880000000003</v>
      </c>
      <c r="E48">
        <v>18.996929999999999</v>
      </c>
      <c r="F48">
        <v>4.0565360000000004</v>
      </c>
      <c r="G48">
        <v>33.755780000000001</v>
      </c>
      <c r="I48">
        <v>2.1202749999999999</v>
      </c>
      <c r="J48" s="4">
        <v>-1.574642E-6</v>
      </c>
      <c r="L48">
        <v>451.39940000000001</v>
      </c>
      <c r="M48" s="4">
        <v>-5.3627029999999997E-8</v>
      </c>
    </row>
    <row r="49" spans="2:13" x14ac:dyDescent="0.55000000000000004">
      <c r="B49">
        <v>4.3545769999999999</v>
      </c>
      <c r="C49">
        <v>0.13148199999999999</v>
      </c>
      <c r="D49">
        <v>4.2293520000000004</v>
      </c>
      <c r="E49">
        <v>19.648209999999999</v>
      </c>
      <c r="F49">
        <v>4.1999930000000001</v>
      </c>
      <c r="G49">
        <v>35.464919999999999</v>
      </c>
      <c r="I49">
        <v>2.1354320000000002</v>
      </c>
      <c r="J49" s="4">
        <v>-1.49635E-5</v>
      </c>
      <c r="L49">
        <v>461.44240000000002</v>
      </c>
      <c r="M49" s="4">
        <v>-5.2077439999999998E-8</v>
      </c>
    </row>
    <row r="50" spans="2:13" x14ac:dyDescent="0.55000000000000004">
      <c r="B50">
        <v>4.3957470000000001</v>
      </c>
      <c r="C50">
        <v>0.13231619999999999</v>
      </c>
      <c r="D50">
        <v>4.2684009999999999</v>
      </c>
      <c r="E50">
        <v>19.658550000000002</v>
      </c>
      <c r="F50">
        <v>4.235633</v>
      </c>
      <c r="G50">
        <v>35.999549999999999</v>
      </c>
      <c r="I50">
        <v>2.1825770000000002</v>
      </c>
      <c r="J50" s="4">
        <v>-1.732624E-5</v>
      </c>
      <c r="L50">
        <v>471.45119999999997</v>
      </c>
      <c r="M50" s="4">
        <v>-5.224547E-8</v>
      </c>
    </row>
    <row r="51" spans="2:13" x14ac:dyDescent="0.55000000000000004">
      <c r="B51">
        <v>4.4891880000000004</v>
      </c>
      <c r="C51">
        <v>0.13648689999999999</v>
      </c>
      <c r="D51">
        <v>4.3596069999999996</v>
      </c>
      <c r="E51">
        <v>19.95149</v>
      </c>
      <c r="F51">
        <v>4.323537</v>
      </c>
      <c r="G51">
        <v>37.119349999999997</v>
      </c>
      <c r="I51">
        <v>2.2298809999999998</v>
      </c>
      <c r="J51" s="4">
        <v>-7.4814890000000002E-6</v>
      </c>
      <c r="L51">
        <v>481.49520000000001</v>
      </c>
      <c r="M51" s="4">
        <v>-5.1255970000000003E-8</v>
      </c>
    </row>
    <row r="52" spans="2:13" x14ac:dyDescent="0.55000000000000004">
      <c r="B52">
        <v>4.5858090000000002</v>
      </c>
      <c r="C52">
        <v>0.1309815</v>
      </c>
      <c r="D52">
        <v>4.4639230000000003</v>
      </c>
      <c r="E52">
        <v>20.214739999999999</v>
      </c>
      <c r="F52">
        <v>4.4119979999999996</v>
      </c>
      <c r="G52">
        <v>38.235639999999997</v>
      </c>
      <c r="I52">
        <v>2.2760560000000001</v>
      </c>
      <c r="J52" s="4">
        <v>-1.2994550000000001E-5</v>
      </c>
      <c r="L52">
        <v>491.53910000000002</v>
      </c>
      <c r="M52" s="4">
        <v>-5.0527849999999999E-8</v>
      </c>
    </row>
    <row r="53" spans="2:13" x14ac:dyDescent="0.55000000000000004">
      <c r="B53">
        <v>4.6788600000000002</v>
      </c>
      <c r="C53">
        <v>0.13248299999999999</v>
      </c>
      <c r="D53">
        <v>4.5574729999999999</v>
      </c>
      <c r="E53">
        <v>20.488489999999999</v>
      </c>
      <c r="F53">
        <v>4.5009050000000004</v>
      </c>
      <c r="G53">
        <v>39.360109999999999</v>
      </c>
      <c r="I53">
        <v>2.321634</v>
      </c>
      <c r="J53" s="4">
        <v>-1.4175920000000001E-5</v>
      </c>
      <c r="L53">
        <v>501.55419999999998</v>
      </c>
      <c r="M53" s="4">
        <v>-4.9930419999999999E-8</v>
      </c>
    </row>
    <row r="54" spans="2:13" x14ac:dyDescent="0.55000000000000004">
      <c r="B54">
        <v>4.7719110000000002</v>
      </c>
      <c r="C54">
        <v>0.138322</v>
      </c>
      <c r="D54">
        <v>4.6514119999999997</v>
      </c>
      <c r="E54">
        <v>20.70637</v>
      </c>
      <c r="F54">
        <v>4.589143</v>
      </c>
      <c r="G54">
        <v>40.474069999999998</v>
      </c>
      <c r="I54">
        <v>2.368455</v>
      </c>
      <c r="J54" s="4">
        <v>-1.5357289999999999E-5</v>
      </c>
      <c r="L54">
        <v>511.59890000000001</v>
      </c>
      <c r="M54" s="4">
        <v>-4.9090280000000001E-8</v>
      </c>
    </row>
    <row r="55" spans="2:13" x14ac:dyDescent="0.55000000000000004">
      <c r="B55">
        <v>4.8681970000000003</v>
      </c>
      <c r="C55">
        <v>0.13148199999999999</v>
      </c>
      <c r="D55">
        <v>4.744237</v>
      </c>
      <c r="E55">
        <v>20.892710000000001</v>
      </c>
      <c r="F55">
        <v>4.6755959999999996</v>
      </c>
      <c r="G55">
        <v>41.523809999999997</v>
      </c>
      <c r="I55">
        <v>2.4149509999999998</v>
      </c>
      <c r="J55" s="5">
        <v>3.9430729999999999E-7</v>
      </c>
      <c r="L55">
        <v>521.60350000000005</v>
      </c>
      <c r="M55" s="4">
        <v>-4.8772899999999997E-8</v>
      </c>
    </row>
    <row r="56" spans="2:13" x14ac:dyDescent="0.55000000000000004">
      <c r="B56">
        <v>4.9605230000000002</v>
      </c>
      <c r="C56">
        <v>0.1381551</v>
      </c>
      <c r="D56">
        <v>4.837396</v>
      </c>
      <c r="E56">
        <v>21.0702</v>
      </c>
      <c r="F56">
        <v>4.7547430000000004</v>
      </c>
      <c r="G56">
        <v>42.560200000000002</v>
      </c>
      <c r="I56">
        <v>2.4617200000000001</v>
      </c>
      <c r="J56" s="4">
        <v>-1.4569709999999999E-5</v>
      </c>
      <c r="L56">
        <v>531.65139999999997</v>
      </c>
      <c r="M56" s="4">
        <v>-4.8604870000000002E-8</v>
      </c>
    </row>
    <row r="57" spans="2:13" x14ac:dyDescent="0.55000000000000004">
      <c r="B57">
        <v>5.055415</v>
      </c>
      <c r="C57">
        <v>0.13331709999999999</v>
      </c>
      <c r="D57">
        <v>4.9313359999999999</v>
      </c>
      <c r="E57">
        <v>21.218509999999998</v>
      </c>
      <c r="F57">
        <v>4.7926700000000002</v>
      </c>
      <c r="G57">
        <v>43.039279999999998</v>
      </c>
      <c r="I57">
        <v>2.5440309999999999</v>
      </c>
      <c r="J57" s="4">
        <v>-1.614487E-5</v>
      </c>
      <c r="L57">
        <v>541.7002</v>
      </c>
      <c r="M57" s="4">
        <v>-4.8194130000000003E-8</v>
      </c>
    </row>
    <row r="58" spans="2:13" x14ac:dyDescent="0.55000000000000004">
      <c r="B58">
        <v>5.148409</v>
      </c>
      <c r="C58">
        <v>0.1343181</v>
      </c>
      <c r="D58">
        <v>5.023714</v>
      </c>
      <c r="E58">
        <v>21.364149999999999</v>
      </c>
      <c r="F58">
        <v>4.8197770000000002</v>
      </c>
      <c r="G58">
        <v>43.391419999999997</v>
      </c>
      <c r="I58">
        <v>2.553525</v>
      </c>
      <c r="J58" s="4">
        <v>-1.0238020000000001E-5</v>
      </c>
      <c r="L58">
        <v>551.7079</v>
      </c>
      <c r="M58" s="4">
        <v>-4.8138129999999999E-8</v>
      </c>
    </row>
    <row r="59" spans="2:13" x14ac:dyDescent="0.55000000000000004">
      <c r="B59">
        <v>5.2416280000000004</v>
      </c>
      <c r="C59">
        <v>0.137321</v>
      </c>
      <c r="D59">
        <v>5.1183230000000002</v>
      </c>
      <c r="E59">
        <v>21.472079999999998</v>
      </c>
      <c r="F59">
        <v>4.8414190000000001</v>
      </c>
      <c r="G59">
        <v>43.671660000000003</v>
      </c>
      <c r="I59">
        <v>2.6011009999999999</v>
      </c>
      <c r="J59" s="4">
        <v>-1.574642E-6</v>
      </c>
      <c r="L59">
        <v>561.76220000000001</v>
      </c>
      <c r="M59" s="4">
        <v>-4.6961929999999998E-8</v>
      </c>
    </row>
    <row r="60" spans="2:13" x14ac:dyDescent="0.55000000000000004">
      <c r="B60">
        <v>5.336519</v>
      </c>
      <c r="C60">
        <v>0.13248299999999999</v>
      </c>
      <c r="D60">
        <v>5.2127650000000001</v>
      </c>
      <c r="E60">
        <v>21.57751</v>
      </c>
      <c r="F60">
        <v>4.8613869999999997</v>
      </c>
      <c r="G60">
        <v>43.914700000000003</v>
      </c>
      <c r="I60">
        <v>2.647221</v>
      </c>
      <c r="J60" s="4">
        <v>-1.693244E-5</v>
      </c>
      <c r="L60">
        <v>571.8066</v>
      </c>
      <c r="M60" s="4">
        <v>-4.6476519999999999E-8</v>
      </c>
    </row>
    <row r="61" spans="2:13" x14ac:dyDescent="0.55000000000000004">
      <c r="B61">
        <v>5.4266129999999997</v>
      </c>
      <c r="C61">
        <v>0.1404907</v>
      </c>
      <c r="D61">
        <v>5.3048640000000002</v>
      </c>
      <c r="E61">
        <v>21.674939999999999</v>
      </c>
      <c r="F61">
        <v>4.8804059999999998</v>
      </c>
      <c r="G61">
        <v>44.130890000000001</v>
      </c>
      <c r="I61">
        <v>2.6936100000000001</v>
      </c>
      <c r="J61" s="4">
        <v>-9.8442290000000007E-6</v>
      </c>
      <c r="L61">
        <v>581.80970000000002</v>
      </c>
      <c r="M61" s="4">
        <v>-4.6028440000000002E-8</v>
      </c>
    </row>
    <row r="62" spans="2:13" x14ac:dyDescent="0.55000000000000004">
      <c r="B62">
        <v>5.5240150000000003</v>
      </c>
      <c r="C62">
        <v>0.1341513</v>
      </c>
      <c r="D62">
        <v>5.3978000000000002</v>
      </c>
      <c r="E62">
        <v>21.75985</v>
      </c>
      <c r="F62">
        <v>4.8953540000000002</v>
      </c>
      <c r="G62">
        <v>44.317889999999998</v>
      </c>
      <c r="I62">
        <v>2.7399439999999999</v>
      </c>
      <c r="J62" s="4">
        <v>-1.1808519999999999E-6</v>
      </c>
      <c r="L62">
        <v>591.8519</v>
      </c>
      <c r="M62" s="4">
        <v>-4.5038950000000001E-8</v>
      </c>
    </row>
    <row r="63" spans="2:13" x14ac:dyDescent="0.55000000000000004">
      <c r="B63">
        <v>5.6172899999999997</v>
      </c>
      <c r="C63">
        <v>0.1353191</v>
      </c>
      <c r="D63">
        <v>5.4929680000000003</v>
      </c>
      <c r="E63">
        <v>21.836089999999999</v>
      </c>
      <c r="F63">
        <v>4.9083500000000004</v>
      </c>
      <c r="G63">
        <v>44.499369999999999</v>
      </c>
      <c r="I63">
        <v>2.7876829999999999</v>
      </c>
      <c r="J63" s="4">
        <v>-1.378213E-5</v>
      </c>
      <c r="L63">
        <v>601.90809999999999</v>
      </c>
      <c r="M63" s="4">
        <v>-4.4460189999999997E-8</v>
      </c>
    </row>
    <row r="64" spans="2:13" x14ac:dyDescent="0.55000000000000004">
      <c r="B64">
        <v>5.7096710000000002</v>
      </c>
      <c r="C64">
        <v>0.14015710000000001</v>
      </c>
      <c r="D64">
        <v>5.5877999999999997</v>
      </c>
      <c r="E64">
        <v>21.907990000000002</v>
      </c>
      <c r="F64">
        <v>4.9207320000000001</v>
      </c>
      <c r="G64">
        <v>44.664180000000002</v>
      </c>
      <c r="I64">
        <v>2.8338000000000001</v>
      </c>
      <c r="J64" s="4">
        <v>-1.5357289999999999E-5</v>
      </c>
      <c r="L64">
        <v>611.91279999999995</v>
      </c>
      <c r="M64" s="4">
        <v>-4.4105459999999998E-8</v>
      </c>
    </row>
    <row r="65" spans="2:13" x14ac:dyDescent="0.55000000000000004">
      <c r="B65">
        <v>5.8049530000000003</v>
      </c>
      <c r="C65">
        <v>0.13498540000000001</v>
      </c>
      <c r="D65">
        <v>5.6819069999999998</v>
      </c>
      <c r="E65">
        <v>21.973220000000001</v>
      </c>
      <c r="I65">
        <v>2.8799199999999998</v>
      </c>
      <c r="J65" s="4">
        <v>-1.614487E-5</v>
      </c>
      <c r="L65">
        <v>621.95770000000005</v>
      </c>
      <c r="M65" s="4">
        <v>-4.3844079999999998E-8</v>
      </c>
    </row>
    <row r="66" spans="2:13" x14ac:dyDescent="0.55000000000000004">
      <c r="B66">
        <v>5.8959400000000004</v>
      </c>
      <c r="C66">
        <v>0.13665369999999999</v>
      </c>
      <c r="D66">
        <v>5.7737270000000001</v>
      </c>
      <c r="E66">
        <v>22.02993</v>
      </c>
      <c r="I66">
        <v>2.9677889999999998</v>
      </c>
      <c r="J66" s="4">
        <v>-6.6939100000000003E-6</v>
      </c>
      <c r="L66">
        <v>632.01279999999997</v>
      </c>
      <c r="M66" s="4">
        <v>-4.2985269999999997E-8</v>
      </c>
    </row>
    <row r="67" spans="2:13" x14ac:dyDescent="0.55000000000000004">
      <c r="B67">
        <v>5.9915570000000002</v>
      </c>
      <c r="C67">
        <v>0.13748779999999999</v>
      </c>
      <c r="D67">
        <v>5.8685039999999997</v>
      </c>
      <c r="E67">
        <v>22.072310000000002</v>
      </c>
      <c r="I67">
        <v>2.9732370000000001</v>
      </c>
      <c r="J67" s="4">
        <v>-1.338834E-5</v>
      </c>
      <c r="L67">
        <v>642.0068</v>
      </c>
      <c r="M67" s="4">
        <v>-4.2107799999999998E-8</v>
      </c>
    </row>
    <row r="68" spans="2:13" x14ac:dyDescent="0.55000000000000004">
      <c r="B68">
        <v>6.0847749999999996</v>
      </c>
      <c r="C68">
        <v>0.138322</v>
      </c>
      <c r="D68">
        <v>5.9612730000000003</v>
      </c>
      <c r="E68">
        <v>22.12302</v>
      </c>
      <c r="I68">
        <v>3.0181689999999999</v>
      </c>
      <c r="J68" s="4">
        <v>-1.5357289999999999E-5</v>
      </c>
      <c r="L68">
        <v>652.06370000000004</v>
      </c>
      <c r="M68" s="4">
        <v>-4.2854589999999997E-8</v>
      </c>
    </row>
    <row r="69" spans="2:13" x14ac:dyDescent="0.55000000000000004">
      <c r="B69">
        <v>6.1791090000000004</v>
      </c>
      <c r="C69">
        <v>0.14065759999999999</v>
      </c>
      <c r="D69">
        <v>6.0549340000000003</v>
      </c>
      <c r="E69">
        <v>22.161560000000001</v>
      </c>
      <c r="I69">
        <v>3.064559</v>
      </c>
      <c r="J69" s="4">
        <v>-1.732624E-5</v>
      </c>
      <c r="L69">
        <v>662.11149999999998</v>
      </c>
      <c r="M69" s="4">
        <v>-4.1099629999999999E-8</v>
      </c>
    </row>
    <row r="70" spans="2:13" x14ac:dyDescent="0.55000000000000004">
      <c r="B70">
        <v>6.2757860000000001</v>
      </c>
      <c r="C70">
        <v>0.1353191</v>
      </c>
      <c r="D70">
        <v>6.1485950000000003</v>
      </c>
      <c r="E70">
        <v>22.207930000000001</v>
      </c>
      <c r="I70">
        <v>3.1116489999999999</v>
      </c>
      <c r="J70" s="5">
        <v>5.1750160000000002E-10</v>
      </c>
      <c r="L70">
        <v>672.11540000000002</v>
      </c>
      <c r="M70" s="4">
        <v>-4.1921100000000001E-8</v>
      </c>
    </row>
    <row r="71" spans="2:13" x14ac:dyDescent="0.55000000000000004">
      <c r="B71">
        <v>6.3672750000000002</v>
      </c>
      <c r="C71">
        <v>0.1403239</v>
      </c>
      <c r="D71">
        <v>6.2410290000000002</v>
      </c>
      <c r="E71">
        <v>22.246970000000001</v>
      </c>
      <c r="I71">
        <v>3.1579299999999999</v>
      </c>
      <c r="J71" s="4">
        <v>-1.378213E-5</v>
      </c>
      <c r="L71">
        <v>682.16219999999998</v>
      </c>
      <c r="M71" s="4">
        <v>-4.0838260000000002E-8</v>
      </c>
    </row>
    <row r="72" spans="2:13" x14ac:dyDescent="0.55000000000000004">
      <c r="B72">
        <v>6.5417170000000002</v>
      </c>
      <c r="C72">
        <v>0.12764500000000001</v>
      </c>
      <c r="D72">
        <v>6.4155759999999997</v>
      </c>
      <c r="E72">
        <v>22.586449999999999</v>
      </c>
      <c r="I72">
        <v>3.2052900000000002</v>
      </c>
      <c r="J72" s="4">
        <v>-1.10256E-5</v>
      </c>
      <c r="L72">
        <v>692.21979999999996</v>
      </c>
      <c r="M72" s="4">
        <v>-4.0483530000000003E-8</v>
      </c>
    </row>
    <row r="73" spans="2:13" x14ac:dyDescent="0.55000000000000004">
      <c r="B73">
        <v>6.5566120000000003</v>
      </c>
      <c r="C73">
        <v>0.13632</v>
      </c>
      <c r="D73">
        <v>6.4313630000000002</v>
      </c>
      <c r="E73">
        <v>22.319369999999999</v>
      </c>
      <c r="I73">
        <v>3.2516790000000002</v>
      </c>
      <c r="J73" s="4">
        <v>-1.2994550000000001E-5</v>
      </c>
      <c r="L73">
        <v>702.21529999999996</v>
      </c>
      <c r="M73" s="4">
        <v>-3.9662060000000001E-8</v>
      </c>
    </row>
    <row r="74" spans="2:13" x14ac:dyDescent="0.55000000000000004">
      <c r="B74">
        <v>6.6498299999999997</v>
      </c>
      <c r="C74">
        <v>0.13865559999999999</v>
      </c>
      <c r="D74">
        <v>6.5266419999999998</v>
      </c>
      <c r="E74">
        <v>22.338719999999999</v>
      </c>
      <c r="I74">
        <v>3.2974199999999998</v>
      </c>
      <c r="J74" s="4">
        <v>-1.4569709999999999E-5</v>
      </c>
      <c r="L74">
        <v>712.2758</v>
      </c>
      <c r="M74" s="4">
        <v>-3.9325999999999998E-8</v>
      </c>
    </row>
    <row r="75" spans="2:13" x14ac:dyDescent="0.55000000000000004">
      <c r="B75">
        <v>6.7436059999999998</v>
      </c>
      <c r="C75">
        <v>0.1394898</v>
      </c>
      <c r="D75">
        <v>6.6191870000000002</v>
      </c>
      <c r="E75">
        <v>22.376919999999998</v>
      </c>
      <c r="I75">
        <v>3.391168</v>
      </c>
      <c r="J75" s="4">
        <v>-1.9684320000000001E-6</v>
      </c>
      <c r="L75">
        <v>722.3193</v>
      </c>
      <c r="M75" s="4">
        <v>-3.9045959999999998E-8</v>
      </c>
    </row>
    <row r="76" spans="2:13" x14ac:dyDescent="0.55000000000000004">
      <c r="B76">
        <v>6.8381629999999998</v>
      </c>
      <c r="C76">
        <v>0.137321</v>
      </c>
      <c r="D76">
        <v>6.7119559999999998</v>
      </c>
      <c r="E76">
        <v>22.40211</v>
      </c>
      <c r="I76">
        <v>3.389983</v>
      </c>
      <c r="J76" s="4">
        <v>-9.4504380000000008E-6</v>
      </c>
      <c r="L76">
        <v>732.31489999999997</v>
      </c>
      <c r="M76" s="4">
        <v>-3.8317840000000001E-8</v>
      </c>
    </row>
    <row r="77" spans="2:13" x14ac:dyDescent="0.55000000000000004">
      <c r="B77">
        <v>6.9307119999999998</v>
      </c>
      <c r="C77">
        <v>0.13999030000000001</v>
      </c>
      <c r="D77">
        <v>6.8076809999999996</v>
      </c>
      <c r="E77">
        <v>22.418959999999998</v>
      </c>
      <c r="I77">
        <v>3.43648</v>
      </c>
      <c r="J77" s="4">
        <v>-1.0631809999999999E-5</v>
      </c>
      <c r="L77">
        <v>742.37049999999999</v>
      </c>
      <c r="M77" s="4">
        <v>-3.8168480000000002E-8</v>
      </c>
    </row>
    <row r="78" spans="2:13" x14ac:dyDescent="0.55000000000000004">
      <c r="B78">
        <v>7.0238180000000003</v>
      </c>
      <c r="C78">
        <v>0.14416100000000001</v>
      </c>
      <c r="D78">
        <v>6.9000029999999999</v>
      </c>
      <c r="E78">
        <v>22.453659999999999</v>
      </c>
      <c r="I78">
        <v>3.482599</v>
      </c>
      <c r="J78" s="5">
        <v>1.299558E-5</v>
      </c>
      <c r="L78">
        <v>752.41610000000003</v>
      </c>
      <c r="M78" s="4">
        <v>-3.7776420000000002E-8</v>
      </c>
    </row>
    <row r="79" spans="2:13" x14ac:dyDescent="0.55000000000000004">
      <c r="B79">
        <v>7.118487</v>
      </c>
      <c r="C79">
        <v>0.13898930000000001</v>
      </c>
      <c r="D79">
        <v>6.9945570000000004</v>
      </c>
      <c r="E79">
        <v>22.470009999999998</v>
      </c>
      <c r="I79">
        <v>3.530767</v>
      </c>
      <c r="J79" s="5">
        <v>6.6949449999999998E-6</v>
      </c>
      <c r="L79">
        <v>762.42679999999996</v>
      </c>
      <c r="M79" s="4">
        <v>-3.6973620000000002E-8</v>
      </c>
    </row>
    <row r="80" spans="2:13" x14ac:dyDescent="0.55000000000000004">
      <c r="B80">
        <v>7.2102550000000001</v>
      </c>
      <c r="C80">
        <v>0.13882249999999999</v>
      </c>
      <c r="D80">
        <v>7.0891659999999996</v>
      </c>
      <c r="E80">
        <v>22.4877</v>
      </c>
      <c r="I80">
        <v>3.57775</v>
      </c>
      <c r="J80" s="5">
        <v>2.7172020000000001E-5</v>
      </c>
      <c r="L80">
        <v>772.47270000000003</v>
      </c>
      <c r="M80" s="4">
        <v>-3.5442699999999999E-8</v>
      </c>
    </row>
    <row r="81" spans="2:13" x14ac:dyDescent="0.55000000000000004">
      <c r="B81">
        <v>7.3058160000000001</v>
      </c>
      <c r="C81">
        <v>0.1413249</v>
      </c>
      <c r="D81">
        <v>7.1829939999999999</v>
      </c>
      <c r="E81">
        <v>22.511379999999999</v>
      </c>
      <c r="I81">
        <v>3.6236000000000002</v>
      </c>
      <c r="J81" s="5">
        <v>5.6312459999999997E-5</v>
      </c>
      <c r="L81">
        <v>782.5299</v>
      </c>
      <c r="M81" s="4">
        <v>-3.5330679999999998E-8</v>
      </c>
    </row>
    <row r="82" spans="2:13" x14ac:dyDescent="0.55000000000000004">
      <c r="B82">
        <v>7.3979739999999996</v>
      </c>
      <c r="C82">
        <v>0.14299319999999999</v>
      </c>
      <c r="D82">
        <v>7.2749259999999998</v>
      </c>
      <c r="E82">
        <v>22.5319</v>
      </c>
      <c r="I82">
        <v>3.669448</v>
      </c>
      <c r="J82" s="5">
        <v>9.8841769999999997E-5</v>
      </c>
      <c r="L82">
        <v>792.52620000000002</v>
      </c>
      <c r="M82" s="4">
        <v>-3.5330679999999998E-8</v>
      </c>
    </row>
    <row r="83" spans="2:13" x14ac:dyDescent="0.55000000000000004">
      <c r="B83">
        <v>7.4937579999999997</v>
      </c>
      <c r="C83">
        <v>0.13898930000000001</v>
      </c>
      <c r="D83">
        <v>7.3704840000000003</v>
      </c>
      <c r="E83">
        <v>22.545249999999999</v>
      </c>
      <c r="I83">
        <v>3.7179419999999999</v>
      </c>
      <c r="J83" s="5">
        <v>1.819314E-4</v>
      </c>
      <c r="L83">
        <v>802.57780000000002</v>
      </c>
      <c r="M83" s="4">
        <v>-3.4845260000000002E-8</v>
      </c>
    </row>
    <row r="84" spans="2:13" x14ac:dyDescent="0.55000000000000004">
      <c r="B84">
        <v>7.5845219999999998</v>
      </c>
      <c r="C84">
        <v>0.1466634</v>
      </c>
      <c r="D84">
        <v>7.4657070000000001</v>
      </c>
      <c r="E84">
        <v>22.562930000000001</v>
      </c>
      <c r="I84">
        <v>3.8150879999999998</v>
      </c>
      <c r="J84" s="5">
        <v>2.6817140000000002E-4</v>
      </c>
      <c r="L84">
        <v>812.63430000000005</v>
      </c>
      <c r="M84" s="4">
        <v>-3.3799760000000001E-8</v>
      </c>
    </row>
    <row r="85" spans="2:13" x14ac:dyDescent="0.55000000000000004">
      <c r="B85">
        <v>7.6789120000000004</v>
      </c>
      <c r="C85">
        <v>0.1434937</v>
      </c>
      <c r="D85">
        <v>7.558643</v>
      </c>
      <c r="E85">
        <v>22.57995</v>
      </c>
      <c r="I85">
        <v>3.8084009999999999</v>
      </c>
      <c r="J85" s="5">
        <v>4.3907620000000001E-4</v>
      </c>
      <c r="L85">
        <v>822.64009999999996</v>
      </c>
      <c r="M85" s="4">
        <v>-3.30343E-8</v>
      </c>
    </row>
    <row r="86" spans="2:13" x14ac:dyDescent="0.55000000000000004">
      <c r="B86">
        <v>7.7753649999999999</v>
      </c>
      <c r="C86">
        <v>0.14065759999999999</v>
      </c>
      <c r="D86">
        <v>7.6491800000000003</v>
      </c>
      <c r="E86">
        <v>22.592459999999999</v>
      </c>
      <c r="I86">
        <v>3.8546279999999999</v>
      </c>
      <c r="J86" s="5">
        <v>6.8165070000000003E-4</v>
      </c>
      <c r="L86">
        <v>832.68269999999995</v>
      </c>
      <c r="M86" s="4">
        <v>-3.2530219999999998E-8</v>
      </c>
    </row>
    <row r="87" spans="2:13" x14ac:dyDescent="0.55000000000000004">
      <c r="B87">
        <v>7.8669099999999998</v>
      </c>
      <c r="C87">
        <v>0.1466634</v>
      </c>
      <c r="D87">
        <v>7.7444030000000001</v>
      </c>
      <c r="E87">
        <v>22.613479999999999</v>
      </c>
      <c r="I87">
        <v>3.9003679999999998</v>
      </c>
      <c r="J87">
        <v>1.0482689999999999E-3</v>
      </c>
      <c r="L87">
        <v>842.73180000000002</v>
      </c>
      <c r="M87" s="4">
        <v>-3.2212829999999997E-8</v>
      </c>
    </row>
    <row r="88" spans="2:13" x14ac:dyDescent="0.55000000000000004">
      <c r="B88">
        <v>7.9635870000000004</v>
      </c>
      <c r="C88">
        <v>0.1394898</v>
      </c>
      <c r="D88">
        <v>7.8395700000000001</v>
      </c>
      <c r="E88">
        <v>22.622990000000001</v>
      </c>
      <c r="I88">
        <v>3.9480520000000001</v>
      </c>
      <c r="J88">
        <v>1.5688589999999999E-3</v>
      </c>
      <c r="L88">
        <v>852.73199999999997</v>
      </c>
      <c r="M88" s="4">
        <v>-3.1858099999999999E-8</v>
      </c>
    </row>
    <row r="89" spans="2:13" x14ac:dyDescent="0.55000000000000004">
      <c r="B89">
        <v>8.0563579999999995</v>
      </c>
      <c r="C89">
        <v>0.14265949999999999</v>
      </c>
      <c r="D89">
        <v>7.9343469999999998</v>
      </c>
      <c r="E89">
        <v>22.638000000000002</v>
      </c>
      <c r="I89">
        <v>3.9941170000000001</v>
      </c>
      <c r="J89">
        <v>2.252085E-3</v>
      </c>
      <c r="L89">
        <v>862.78380000000004</v>
      </c>
      <c r="M89" s="4">
        <v>-3.0868609999999998E-8</v>
      </c>
    </row>
    <row r="90" spans="2:13" x14ac:dyDescent="0.55000000000000004">
      <c r="B90">
        <v>8.148517</v>
      </c>
      <c r="C90">
        <v>0.14699699999999999</v>
      </c>
      <c r="D90">
        <v>8.0286770000000001</v>
      </c>
      <c r="E90">
        <v>22.647680000000001</v>
      </c>
      <c r="I90">
        <v>4.039428</v>
      </c>
      <c r="J90">
        <v>3.1700090000000001E-3</v>
      </c>
      <c r="L90">
        <v>872.84079999999994</v>
      </c>
      <c r="M90" s="4">
        <v>-2.9655069999999999E-8</v>
      </c>
    </row>
    <row r="91" spans="2:13" x14ac:dyDescent="0.55000000000000004">
      <c r="B91">
        <v>8.2444690000000005</v>
      </c>
      <c r="C91">
        <v>0.1403239</v>
      </c>
      <c r="D91">
        <v>8.1213339999999992</v>
      </c>
      <c r="E91">
        <v>22.659520000000001</v>
      </c>
      <c r="I91">
        <v>4.0836569999999996</v>
      </c>
      <c r="J91">
        <v>4.3407460000000004E-3</v>
      </c>
      <c r="L91">
        <v>882.83749999999998</v>
      </c>
      <c r="M91" s="4">
        <v>-2.9916449999999999E-8</v>
      </c>
    </row>
    <row r="92" spans="2:13" x14ac:dyDescent="0.55000000000000004">
      <c r="B92">
        <v>8.3381889999999999</v>
      </c>
      <c r="C92">
        <v>0.14282629999999999</v>
      </c>
      <c r="D92">
        <v>8.2148280000000007</v>
      </c>
      <c r="E92">
        <v>22.676369999999999</v>
      </c>
      <c r="I92">
        <v>4.1297249999999996</v>
      </c>
      <c r="J92">
        <v>5.8351779999999999E-3</v>
      </c>
      <c r="L92">
        <v>892.88750000000005</v>
      </c>
      <c r="M92" s="4">
        <v>-2.844154E-8</v>
      </c>
    </row>
    <row r="93" spans="2:13" x14ac:dyDescent="0.55000000000000004">
      <c r="B93">
        <v>8.4298450000000003</v>
      </c>
      <c r="C93">
        <v>0.14716389999999999</v>
      </c>
      <c r="D93">
        <v>8.3078190000000003</v>
      </c>
      <c r="E93">
        <v>22.686879999999999</v>
      </c>
      <c r="I93">
        <v>4.235716</v>
      </c>
      <c r="J93">
        <v>7.4516859999999999E-3</v>
      </c>
      <c r="L93">
        <v>902.93399999999997</v>
      </c>
      <c r="M93" s="4">
        <v>-2.831085E-8</v>
      </c>
    </row>
    <row r="94" spans="2:13" x14ac:dyDescent="0.55000000000000004">
      <c r="B94">
        <v>8.5238440000000004</v>
      </c>
      <c r="C94">
        <v>0.14699699999999999</v>
      </c>
      <c r="D94">
        <v>8.4013139999999993</v>
      </c>
      <c r="E94">
        <v>22.70356</v>
      </c>
      <c r="I94">
        <v>4.2276259999999999</v>
      </c>
      <c r="J94">
        <v>7.5123289999999999E-3</v>
      </c>
      <c r="L94">
        <v>912.94259999999997</v>
      </c>
      <c r="M94" s="4">
        <v>-2.7862779999999999E-8</v>
      </c>
    </row>
    <row r="95" spans="2:13" x14ac:dyDescent="0.55000000000000004">
      <c r="B95">
        <v>8.7252860000000005</v>
      </c>
      <c r="C95">
        <v>0.1353191</v>
      </c>
      <c r="D95">
        <v>8.6040320000000001</v>
      </c>
      <c r="E95">
        <v>22.977989999999998</v>
      </c>
      <c r="I95">
        <v>4.2771980000000003</v>
      </c>
      <c r="J95">
        <v>7.5292620000000001E-3</v>
      </c>
      <c r="L95">
        <v>922.99789999999996</v>
      </c>
      <c r="M95" s="4">
        <v>-2.7414710000000001E-8</v>
      </c>
    </row>
    <row r="96" spans="2:13" x14ac:dyDescent="0.55000000000000004">
      <c r="B96">
        <v>8.7134599999999995</v>
      </c>
      <c r="C96">
        <v>0.14399410000000001</v>
      </c>
      <c r="D96">
        <v>8.5912019999999991</v>
      </c>
      <c r="E96">
        <v>22.71491</v>
      </c>
      <c r="I96">
        <v>4.3248800000000003</v>
      </c>
      <c r="J96">
        <v>7.5458010000000004E-3</v>
      </c>
      <c r="L96">
        <v>933.04819999999995</v>
      </c>
      <c r="M96" s="4">
        <v>-2.6518559999999999E-8</v>
      </c>
    </row>
    <row r="97" spans="2:13" x14ac:dyDescent="0.55000000000000004">
      <c r="B97">
        <v>8.8066230000000001</v>
      </c>
      <c r="C97">
        <v>0.1474975</v>
      </c>
      <c r="D97">
        <v>8.6854200000000006</v>
      </c>
      <c r="E97">
        <v>22.723579999999998</v>
      </c>
      <c r="I97">
        <v>4.3724559999999997</v>
      </c>
      <c r="J97">
        <v>7.5769110000000004E-3</v>
      </c>
      <c r="L97">
        <v>943.04459999999995</v>
      </c>
      <c r="M97" s="4">
        <v>-2.5193009999999999E-8</v>
      </c>
    </row>
    <row r="98" spans="2:13" x14ac:dyDescent="0.55000000000000004">
      <c r="B98">
        <v>8.9010119999999997</v>
      </c>
      <c r="C98">
        <v>0.1423258</v>
      </c>
      <c r="D98">
        <v>8.7804199999999994</v>
      </c>
      <c r="E98">
        <v>22.730090000000001</v>
      </c>
      <c r="I98">
        <v>4.4185210000000001</v>
      </c>
      <c r="J98">
        <v>7.5895119999999996E-3</v>
      </c>
      <c r="L98">
        <v>953.08929999999998</v>
      </c>
      <c r="M98" s="4">
        <v>-2.4632910000000001E-8</v>
      </c>
    </row>
    <row r="99" spans="2:13" x14ac:dyDescent="0.55000000000000004">
      <c r="B99">
        <v>8.9930590000000006</v>
      </c>
      <c r="C99">
        <v>0.1498331</v>
      </c>
      <c r="D99">
        <v>8.8720730000000003</v>
      </c>
      <c r="E99">
        <v>22.749939999999999</v>
      </c>
      <c r="I99">
        <v>4.4649650000000003</v>
      </c>
      <c r="J99">
        <v>7.6017189999999998E-3</v>
      </c>
      <c r="L99">
        <v>963.14700000000005</v>
      </c>
      <c r="M99" s="4">
        <v>-2.4147499999999998E-8</v>
      </c>
    </row>
    <row r="100" spans="2:13" x14ac:dyDescent="0.55000000000000004">
      <c r="B100">
        <v>9.0886750000000003</v>
      </c>
      <c r="C100">
        <v>0.14432780000000001</v>
      </c>
      <c r="D100">
        <v>8.9659010000000006</v>
      </c>
      <c r="E100">
        <v>22.753609999999998</v>
      </c>
      <c r="I100">
        <v>4.510059</v>
      </c>
      <c r="J100">
        <v>7.9049370000000008E-3</v>
      </c>
      <c r="L100">
        <v>973.15049999999997</v>
      </c>
      <c r="M100" s="4">
        <v>-2.3606079999999999E-8</v>
      </c>
    </row>
    <row r="101" spans="2:13" x14ac:dyDescent="0.55000000000000004">
      <c r="B101">
        <v>9.1823409999999992</v>
      </c>
      <c r="C101">
        <v>0.14432780000000001</v>
      </c>
      <c r="D101">
        <v>9.0603440000000006</v>
      </c>
      <c r="E101">
        <v>22.76512</v>
      </c>
      <c r="I101">
        <v>4.5562860000000001</v>
      </c>
      <c r="J101">
        <v>8.3050280000000008E-3</v>
      </c>
      <c r="L101">
        <v>983.20249999999999</v>
      </c>
      <c r="M101" s="4">
        <v>-2.185112E-8</v>
      </c>
    </row>
    <row r="102" spans="2:13" x14ac:dyDescent="0.55000000000000004">
      <c r="B102">
        <v>9.2758369999999992</v>
      </c>
      <c r="C102">
        <v>0.1464966</v>
      </c>
      <c r="D102">
        <v>9.1542840000000005</v>
      </c>
      <c r="E102">
        <v>22.772459999999999</v>
      </c>
      <c r="I102">
        <v>4.6679430000000002</v>
      </c>
      <c r="J102">
        <v>8.8575159999999993E-3</v>
      </c>
      <c r="L102">
        <v>993.20060000000001</v>
      </c>
      <c r="M102" s="4">
        <v>-2.2168510000000001E-8</v>
      </c>
    </row>
    <row r="103" spans="2:13" x14ac:dyDescent="0.55000000000000004">
      <c r="L103">
        <v>1003.254</v>
      </c>
      <c r="M103" s="4">
        <v>-2.138438E-8</v>
      </c>
    </row>
    <row r="104" spans="2:13" x14ac:dyDescent="0.55000000000000004">
      <c r="L104">
        <v>1013.299</v>
      </c>
      <c r="M104" s="4">
        <v>-2.119768E-8</v>
      </c>
    </row>
    <row r="105" spans="2:13" x14ac:dyDescent="0.55000000000000004">
      <c r="L105">
        <v>1023.308</v>
      </c>
      <c r="M105" s="4">
        <v>-2.039488E-8</v>
      </c>
    </row>
    <row r="106" spans="2:13" x14ac:dyDescent="0.55000000000000004">
      <c r="L106">
        <v>1033.3510000000001</v>
      </c>
      <c r="M106" s="4">
        <v>-1.9741439999999999E-8</v>
      </c>
    </row>
    <row r="107" spans="2:13" x14ac:dyDescent="0.55000000000000004">
      <c r="L107">
        <v>1043.4069999999999</v>
      </c>
      <c r="M107" s="4">
        <v>-1.920002E-8</v>
      </c>
    </row>
    <row r="108" spans="2:13" x14ac:dyDescent="0.55000000000000004">
      <c r="L108">
        <v>1053.403</v>
      </c>
      <c r="M108" s="4">
        <v>-1.8098500000000002E-8</v>
      </c>
    </row>
    <row r="109" spans="2:13" x14ac:dyDescent="0.55000000000000004">
      <c r="L109">
        <v>1063.4490000000001</v>
      </c>
      <c r="M109" s="4">
        <v>-1.746373E-8</v>
      </c>
    </row>
    <row r="110" spans="2:13" x14ac:dyDescent="0.55000000000000004">
      <c r="L110">
        <v>1073.5119999999999</v>
      </c>
      <c r="M110" s="4">
        <v>-1.6418219999999999E-8</v>
      </c>
    </row>
    <row r="111" spans="2:13" x14ac:dyDescent="0.55000000000000004">
      <c r="L111">
        <v>1083.509</v>
      </c>
      <c r="M111" s="4">
        <v>-1.639955E-8</v>
      </c>
    </row>
    <row r="112" spans="2:13" x14ac:dyDescent="0.55000000000000004">
      <c r="L112">
        <v>1093.5650000000001</v>
      </c>
      <c r="M112" s="4">
        <v>-1.440189E-8</v>
      </c>
    </row>
    <row r="113" spans="12:13" x14ac:dyDescent="0.55000000000000004">
      <c r="L113">
        <v>1103.6089999999999</v>
      </c>
      <c r="M113" s="4">
        <v>-1.3729780000000001E-8</v>
      </c>
    </row>
    <row r="114" spans="12:13" x14ac:dyDescent="0.55000000000000004">
      <c r="L114">
        <v>1113.6120000000001</v>
      </c>
      <c r="M114" s="4">
        <v>-1.3319049999999999E-8</v>
      </c>
    </row>
    <row r="115" spans="12:13" x14ac:dyDescent="0.55000000000000004">
      <c r="L115">
        <v>1123.6659999999999</v>
      </c>
      <c r="M115" s="4">
        <v>-1.2124179999999999E-8</v>
      </c>
    </row>
    <row r="116" spans="12:13" x14ac:dyDescent="0.55000000000000004">
      <c r="L116">
        <v>1133.722</v>
      </c>
      <c r="M116" s="4">
        <v>-1.1732120000000001E-8</v>
      </c>
    </row>
    <row r="117" spans="12:13" x14ac:dyDescent="0.55000000000000004">
      <c r="L117">
        <v>1143.7149999999999</v>
      </c>
      <c r="M117" s="4">
        <v>-1.0369230000000001E-8</v>
      </c>
    </row>
    <row r="118" spans="12:13" x14ac:dyDescent="0.55000000000000004">
      <c r="L118">
        <v>1153.768</v>
      </c>
      <c r="M118" s="4">
        <v>-9.7531239999999995E-9</v>
      </c>
    </row>
    <row r="119" spans="12:13" x14ac:dyDescent="0.55000000000000004">
      <c r="L119">
        <v>1163.8130000000001</v>
      </c>
      <c r="M119" s="4">
        <v>-9.3983990000000006E-9</v>
      </c>
    </row>
    <row r="120" spans="12:13" x14ac:dyDescent="0.55000000000000004">
      <c r="L120">
        <v>1173.82</v>
      </c>
      <c r="M120" s="4">
        <v>-8.5022499999999993E-9</v>
      </c>
    </row>
    <row r="121" spans="12:13" x14ac:dyDescent="0.55000000000000004">
      <c r="L121">
        <v>1183.874</v>
      </c>
      <c r="M121" s="4">
        <v>-7.1020200000000003E-9</v>
      </c>
    </row>
    <row r="122" spans="12:13" x14ac:dyDescent="0.55000000000000004">
      <c r="L122">
        <v>1193.92</v>
      </c>
      <c r="M122" s="4">
        <v>-6.7286249999999998E-9</v>
      </c>
    </row>
    <row r="123" spans="12:13" x14ac:dyDescent="0.55000000000000004">
      <c r="L123">
        <v>1203.921</v>
      </c>
      <c r="M123" s="4">
        <v>-5.5711000000000003E-9</v>
      </c>
    </row>
    <row r="124" spans="12:13" x14ac:dyDescent="0.55000000000000004">
      <c r="L124">
        <v>1213.9670000000001</v>
      </c>
      <c r="M124" s="4">
        <v>-4.5629339999999997E-9</v>
      </c>
    </row>
    <row r="125" spans="12:13" x14ac:dyDescent="0.55000000000000004">
      <c r="L125">
        <v>1224.02</v>
      </c>
      <c r="M125" s="4">
        <v>-3.629447E-9</v>
      </c>
    </row>
    <row r="126" spans="12:13" x14ac:dyDescent="0.55000000000000004">
      <c r="L126">
        <v>1234.0260000000001</v>
      </c>
      <c r="M126" s="4">
        <v>-3.5921070000000002E-9</v>
      </c>
    </row>
    <row r="127" spans="12:13" x14ac:dyDescent="0.55000000000000004">
      <c r="L127">
        <v>1244.077</v>
      </c>
      <c r="M127" s="4">
        <v>-2.490592E-9</v>
      </c>
    </row>
    <row r="128" spans="12:13" x14ac:dyDescent="0.55000000000000004">
      <c r="L128">
        <v>1254.1220000000001</v>
      </c>
      <c r="M128" s="4">
        <v>-1.9491689999999999E-9</v>
      </c>
    </row>
    <row r="129" spans="12:13" x14ac:dyDescent="0.55000000000000004">
      <c r="L129">
        <v>1264.1300000000001</v>
      </c>
      <c r="M129" s="4">
        <v>-1.2583889999999999E-9</v>
      </c>
    </row>
    <row r="130" spans="12:13" x14ac:dyDescent="0.55000000000000004">
      <c r="L130">
        <v>1265.625</v>
      </c>
      <c r="M130" s="5">
        <v>1.255325E-5</v>
      </c>
    </row>
    <row r="131" spans="12:13" x14ac:dyDescent="0.55000000000000004">
      <c r="L131">
        <v>1264.204</v>
      </c>
      <c r="M131" s="5">
        <v>2.7720049999999999E-5</v>
      </c>
    </row>
    <row r="132" spans="12:13" x14ac:dyDescent="0.55000000000000004">
      <c r="L132">
        <v>1263.953</v>
      </c>
      <c r="M132" s="5">
        <v>4.0724969999999998E-5</v>
      </c>
    </row>
    <row r="133" spans="12:13" x14ac:dyDescent="0.55000000000000004">
      <c r="L133">
        <v>1263.636</v>
      </c>
      <c r="M133" s="5">
        <v>5.1889460000000002E-5</v>
      </c>
    </row>
    <row r="134" spans="12:13" x14ac:dyDescent="0.55000000000000004">
      <c r="L134">
        <v>1264.0409999999999</v>
      </c>
      <c r="M134" s="5">
        <v>6.3293029999999994E-5</v>
      </c>
    </row>
    <row r="135" spans="12:13" x14ac:dyDescent="0.55000000000000004">
      <c r="L135">
        <v>1263.598</v>
      </c>
      <c r="M135" s="5">
        <v>7.2942120000000002E-5</v>
      </c>
    </row>
    <row r="136" spans="12:13" x14ac:dyDescent="0.55000000000000004">
      <c r="L136">
        <v>1263.6300000000001</v>
      </c>
      <c r="M136" s="5">
        <v>8.2158120000000003E-5</v>
      </c>
    </row>
    <row r="137" spans="12:13" x14ac:dyDescent="0.55000000000000004">
      <c r="L137">
        <v>1263.3710000000001</v>
      </c>
      <c r="M137" s="5">
        <v>9.0648780000000004E-5</v>
      </c>
    </row>
    <row r="138" spans="12:13" x14ac:dyDescent="0.55000000000000004">
      <c r="L138">
        <v>1263.2729999999999</v>
      </c>
      <c r="M138" s="5">
        <v>9.8562670000000002E-5</v>
      </c>
    </row>
    <row r="139" spans="12:13" x14ac:dyDescent="0.55000000000000004">
      <c r="L139">
        <v>1263.3150000000001</v>
      </c>
      <c r="M139" s="5">
        <v>1.05628E-4</v>
      </c>
    </row>
    <row r="140" spans="12:13" x14ac:dyDescent="0.55000000000000004">
      <c r="L140">
        <v>1263.1030000000001</v>
      </c>
      <c r="M140" s="5">
        <v>1.115451E-4</v>
      </c>
    </row>
    <row r="141" spans="12:13" x14ac:dyDescent="0.55000000000000004">
      <c r="L141">
        <v>1263.0060000000001</v>
      </c>
      <c r="M141" s="5">
        <v>1.176246E-4</v>
      </c>
    </row>
    <row r="142" spans="12:13" x14ac:dyDescent="0.55000000000000004">
      <c r="L142">
        <v>1262.7470000000001</v>
      </c>
      <c r="M142" s="5">
        <v>1.233912E-4</v>
      </c>
    </row>
    <row r="143" spans="12:13" x14ac:dyDescent="0.55000000000000004">
      <c r="L143">
        <v>1263.1300000000001</v>
      </c>
      <c r="M143" s="5">
        <v>1.253208E-4</v>
      </c>
    </row>
    <row r="144" spans="12:13" x14ac:dyDescent="0.55000000000000004">
      <c r="L144">
        <v>1263.4570000000001</v>
      </c>
      <c r="M144" s="5">
        <v>1.261589E-4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C09AE-44D4-4720-8338-CDBE8DED2266}">
  <dimension ref="B1:O144"/>
  <sheetViews>
    <sheetView tabSelected="1" topLeftCell="A118" zoomScale="78" zoomScaleNormal="100" workbookViewId="0">
      <selection activeCell="N127" sqref="N127"/>
    </sheetView>
  </sheetViews>
  <sheetFormatPr defaultRowHeight="18" x14ac:dyDescent="0.55000000000000004"/>
  <cols>
    <col min="1" max="1" width="3" customWidth="1"/>
    <col min="2" max="2" width="8.75" bestFit="1" customWidth="1"/>
    <col min="3" max="5" width="8.83203125" bestFit="1" customWidth="1"/>
    <col min="6" max="6" width="9.5" bestFit="1" customWidth="1"/>
    <col min="7" max="9" width="8.83203125" bestFit="1" customWidth="1"/>
    <col min="10" max="10" width="3" customWidth="1"/>
    <col min="11" max="11" width="8.83203125" bestFit="1" customWidth="1"/>
    <col min="12" max="12" width="10.25" bestFit="1" customWidth="1"/>
    <col min="13" max="13" width="3" customWidth="1"/>
    <col min="14" max="14" width="8.83203125" bestFit="1" customWidth="1"/>
    <col min="15" max="15" width="10.25" bestFit="1" customWidth="1"/>
  </cols>
  <sheetData>
    <row r="1" spans="2:15" x14ac:dyDescent="0.55000000000000004">
      <c r="B1" t="s">
        <v>0</v>
      </c>
      <c r="D1" t="s">
        <v>3</v>
      </c>
      <c r="F1" t="s">
        <v>8</v>
      </c>
      <c r="H1" t="s">
        <v>4</v>
      </c>
      <c r="K1" t="s">
        <v>5</v>
      </c>
      <c r="N1" t="s">
        <v>7</v>
      </c>
    </row>
    <row r="2" spans="2:15" x14ac:dyDescent="0.55000000000000004">
      <c r="B2" t="s">
        <v>1</v>
      </c>
      <c r="C2" t="s">
        <v>2</v>
      </c>
      <c r="D2" t="s">
        <v>1</v>
      </c>
      <c r="E2" t="s">
        <v>2</v>
      </c>
      <c r="F2" t="s">
        <v>1</v>
      </c>
      <c r="G2" t="s">
        <v>2</v>
      </c>
      <c r="H2" t="s">
        <v>1</v>
      </c>
      <c r="I2" t="s">
        <v>2</v>
      </c>
      <c r="K2" t="s">
        <v>6</v>
      </c>
      <c r="L2" t="s">
        <v>2</v>
      </c>
      <c r="N2" t="s">
        <v>1</v>
      </c>
      <c r="O2" t="s">
        <v>2</v>
      </c>
    </row>
    <row r="3" spans="2:15" x14ac:dyDescent="0.55000000000000004">
      <c r="B3" s="5">
        <v>9.9303749999999995E-4</v>
      </c>
      <c r="C3">
        <v>-1.015512E-2</v>
      </c>
      <c r="D3">
        <v>-1.461394E-3</v>
      </c>
      <c r="E3">
        <v>-4.6496630000000001E-3</v>
      </c>
      <c r="F3" s="4">
        <v>-8.4757530000000004E-4</v>
      </c>
      <c r="G3">
        <v>-1.199136E-2</v>
      </c>
      <c r="H3">
        <v>-1.461688E-3</v>
      </c>
      <c r="I3">
        <v>-1.232348E-2</v>
      </c>
      <c r="K3">
        <v>4.0769580000000003E-3</v>
      </c>
      <c r="L3" s="5">
        <v>2.1815490000000001E-4</v>
      </c>
      <c r="N3">
        <v>9.2132729999999996E-2</v>
      </c>
      <c r="O3" s="4">
        <v>-8.631871E-8</v>
      </c>
    </row>
    <row r="4" spans="2:15" x14ac:dyDescent="0.55000000000000004">
      <c r="B4">
        <v>4.8017509999999999E-2</v>
      </c>
      <c r="C4">
        <v>-3.4820300000000001E-3</v>
      </c>
      <c r="D4">
        <v>4.4836809999999998E-2</v>
      </c>
      <c r="E4">
        <v>0.1122971</v>
      </c>
      <c r="F4">
        <v>4.2714080000000001E-2</v>
      </c>
      <c r="G4">
        <v>0.47009709999999999</v>
      </c>
      <c r="H4">
        <v>4.2441800000000002E-2</v>
      </c>
      <c r="I4">
        <v>0.74960020000000005</v>
      </c>
      <c r="K4">
        <v>4.2750839999999998E-2</v>
      </c>
      <c r="L4" s="4">
        <v>-2.363396E-6</v>
      </c>
      <c r="N4">
        <v>9.89893</v>
      </c>
      <c r="O4" s="5">
        <v>6.1534809999999995E-7</v>
      </c>
    </row>
    <row r="5" spans="2:15" x14ac:dyDescent="0.55000000000000004">
      <c r="B5">
        <v>9.5488210000000004E-2</v>
      </c>
      <c r="C5">
        <v>1.022306E-3</v>
      </c>
      <c r="D5">
        <v>9.2138940000000003E-2</v>
      </c>
      <c r="E5">
        <v>0.22357179999999999</v>
      </c>
      <c r="F5">
        <v>8.3375249999999998E-2</v>
      </c>
      <c r="G5">
        <v>0.95435400000000004</v>
      </c>
      <c r="H5">
        <v>8.5564150000000005E-2</v>
      </c>
      <c r="I5">
        <v>1.52437</v>
      </c>
      <c r="K5">
        <v>9.0646740000000003E-2</v>
      </c>
      <c r="L5" s="4">
        <v>-8.2701370000000002E-6</v>
      </c>
      <c r="N5">
        <v>19.89378</v>
      </c>
      <c r="O5" s="5">
        <v>2.0971010000000001E-7</v>
      </c>
    </row>
    <row r="6" spans="2:15" x14ac:dyDescent="0.55000000000000004">
      <c r="B6">
        <v>0.1415643</v>
      </c>
      <c r="C6">
        <v>6.5276049999999997E-3</v>
      </c>
      <c r="D6">
        <v>0.1392737</v>
      </c>
      <c r="E6">
        <v>0.32950790000000002</v>
      </c>
      <c r="F6">
        <v>0.12855430000000001</v>
      </c>
      <c r="G6">
        <v>1.4217630000000001</v>
      </c>
      <c r="H6">
        <v>0.13080639999999999</v>
      </c>
      <c r="I6">
        <v>2.2951359999999998</v>
      </c>
      <c r="K6">
        <v>0.13649459999999999</v>
      </c>
      <c r="L6" s="5">
        <v>1.968214E-6</v>
      </c>
      <c r="N6">
        <v>29.948360000000001</v>
      </c>
      <c r="O6" s="5">
        <v>3.0872349999999999E-8</v>
      </c>
    </row>
    <row r="7" spans="2:15" x14ac:dyDescent="0.55000000000000004">
      <c r="B7">
        <v>0.18791939999999999</v>
      </c>
      <c r="C7">
        <v>1.119877E-2</v>
      </c>
      <c r="D7">
        <v>0.18495819999999999</v>
      </c>
      <c r="E7">
        <v>0.4271026</v>
      </c>
      <c r="F7">
        <v>0.17161390000000001</v>
      </c>
      <c r="G7">
        <v>1.8759939999999999</v>
      </c>
      <c r="H7">
        <v>0.17147409999999999</v>
      </c>
      <c r="I7">
        <v>3.0537230000000002</v>
      </c>
      <c r="K7">
        <v>0.18336530000000001</v>
      </c>
      <c r="L7" s="4">
        <v>-3.9448270000000002E-7</v>
      </c>
      <c r="N7">
        <v>40.005369999999999</v>
      </c>
      <c r="O7" s="5">
        <v>9.3461089999999998E-9</v>
      </c>
    </row>
    <row r="8" spans="2:15" x14ac:dyDescent="0.55000000000000004">
      <c r="B8">
        <v>0.2363942</v>
      </c>
      <c r="C8">
        <v>1.13656E-2</v>
      </c>
      <c r="D8">
        <v>0.2312563</v>
      </c>
      <c r="E8">
        <v>0.52202809999999999</v>
      </c>
      <c r="F8">
        <v>0.21656980000000001</v>
      </c>
      <c r="G8">
        <v>2.3253870000000001</v>
      </c>
      <c r="H8">
        <v>0.21632580000000001</v>
      </c>
      <c r="I8">
        <v>3.804802</v>
      </c>
      <c r="K8">
        <v>0.23007630000000001</v>
      </c>
      <c r="L8" s="4">
        <v>-6.695006E-6</v>
      </c>
      <c r="N8">
        <v>50.002429999999997</v>
      </c>
      <c r="O8" s="4">
        <v>-2.0237799999999998E-9</v>
      </c>
    </row>
    <row r="9" spans="2:15" x14ac:dyDescent="0.55000000000000004">
      <c r="B9">
        <v>0.28274919999999998</v>
      </c>
      <c r="C9">
        <v>1.536945E-2</v>
      </c>
      <c r="D9">
        <v>0.2752115</v>
      </c>
      <c r="E9">
        <v>0.61595259999999996</v>
      </c>
      <c r="F9">
        <v>0.2602429</v>
      </c>
      <c r="G9">
        <v>2.7641040000000001</v>
      </c>
      <c r="H9">
        <v>0.26112180000000002</v>
      </c>
      <c r="I9">
        <v>4.5525460000000004</v>
      </c>
      <c r="K9">
        <v>0.27624609999999999</v>
      </c>
      <c r="L9" s="4">
        <v>-7.8763540000000005E-6</v>
      </c>
      <c r="N9">
        <v>60.051459999999999</v>
      </c>
      <c r="O9" s="4">
        <v>-8.9315929999999995E-9</v>
      </c>
    </row>
    <row r="10" spans="2:15" x14ac:dyDescent="0.55000000000000004">
      <c r="B10">
        <v>0.32849070000000002</v>
      </c>
      <c r="C10">
        <v>2.004061E-2</v>
      </c>
      <c r="D10">
        <v>0.32234629999999997</v>
      </c>
      <c r="E10">
        <v>0.69819900000000001</v>
      </c>
      <c r="F10">
        <v>0.3040834</v>
      </c>
      <c r="G10">
        <v>3.192145</v>
      </c>
      <c r="H10">
        <v>0.3032958</v>
      </c>
      <c r="I10">
        <v>5.2894439999999996</v>
      </c>
      <c r="K10">
        <v>0.32306430000000003</v>
      </c>
      <c r="L10" s="5">
        <v>3.9308280000000002E-7</v>
      </c>
      <c r="N10">
        <v>70.098219999999998</v>
      </c>
      <c r="O10" s="4">
        <v>-1.44205E-8</v>
      </c>
    </row>
    <row r="11" spans="2:15" x14ac:dyDescent="0.55000000000000004">
      <c r="B11">
        <v>0.37534780000000001</v>
      </c>
      <c r="C11">
        <v>2.437812E-2</v>
      </c>
      <c r="D11">
        <v>0.3700947</v>
      </c>
      <c r="E11">
        <v>0.78044550000000001</v>
      </c>
      <c r="F11">
        <v>0.34781220000000002</v>
      </c>
      <c r="G11">
        <v>3.6280260000000002</v>
      </c>
      <c r="H11">
        <v>0.34786859999999997</v>
      </c>
      <c r="I11">
        <v>6.0380209999999996</v>
      </c>
      <c r="K11">
        <v>0.36821130000000002</v>
      </c>
      <c r="L11" s="4">
        <v>-1.9696140000000001E-6</v>
      </c>
      <c r="N11">
        <v>80.104939999999999</v>
      </c>
      <c r="O11" s="4">
        <v>-1.8994600000000001E-8</v>
      </c>
    </row>
    <row r="12" spans="2:15" x14ac:dyDescent="0.55000000000000004">
      <c r="B12">
        <v>0.42343209999999998</v>
      </c>
      <c r="C12">
        <v>2.3543990000000001E-2</v>
      </c>
      <c r="D12">
        <v>0.41516560000000002</v>
      </c>
      <c r="E12">
        <v>0.86035629999999996</v>
      </c>
      <c r="F12">
        <v>0.39115070000000002</v>
      </c>
      <c r="G12">
        <v>4.0422219999999998</v>
      </c>
      <c r="H12">
        <v>0.39177190000000001</v>
      </c>
      <c r="I12">
        <v>6.7627410000000001</v>
      </c>
      <c r="K12">
        <v>0.4232264</v>
      </c>
      <c r="L12" s="4">
        <v>-1.063283E-5</v>
      </c>
      <c r="N12">
        <v>90.16028</v>
      </c>
      <c r="O12" s="4">
        <v>-2.1907080000000001E-8</v>
      </c>
    </row>
    <row r="13" spans="2:15" x14ac:dyDescent="0.55000000000000004">
      <c r="B13">
        <v>0.46811360000000002</v>
      </c>
      <c r="C13">
        <v>3.2552659999999997E-2</v>
      </c>
      <c r="D13">
        <v>0.4628582</v>
      </c>
      <c r="E13">
        <v>0.93209260000000005</v>
      </c>
      <c r="F13">
        <v>0.4346564</v>
      </c>
      <c r="G13">
        <v>4.4580859999999998</v>
      </c>
      <c r="H13">
        <v>0.43584260000000002</v>
      </c>
      <c r="I13">
        <v>7.4953029999999998</v>
      </c>
      <c r="K13">
        <v>0.46233180000000001</v>
      </c>
      <c r="L13" s="5">
        <v>7.087389E-6</v>
      </c>
      <c r="N13">
        <v>100.20829999999999</v>
      </c>
      <c r="O13" s="4">
        <v>-2.545434E-8</v>
      </c>
    </row>
    <row r="14" spans="2:15" x14ac:dyDescent="0.55000000000000004">
      <c r="B14">
        <v>0.51792720000000003</v>
      </c>
      <c r="C14">
        <v>2.8215150000000001E-2</v>
      </c>
      <c r="D14">
        <v>0.50859840000000001</v>
      </c>
      <c r="E14">
        <v>1.009334</v>
      </c>
      <c r="F14">
        <v>0.47665629999999998</v>
      </c>
      <c r="G14">
        <v>4.8656090000000001</v>
      </c>
      <c r="H14">
        <v>0.47991329999999999</v>
      </c>
      <c r="I14">
        <v>8.2151840000000007</v>
      </c>
      <c r="K14">
        <v>0.50963400000000003</v>
      </c>
      <c r="L14" s="4">
        <v>-9.4514849999999999E-6</v>
      </c>
      <c r="N14">
        <v>110.20659999999999</v>
      </c>
      <c r="O14" s="4">
        <v>-2.7825400000000001E-8</v>
      </c>
    </row>
    <row r="15" spans="2:15" x14ac:dyDescent="0.55000000000000004">
      <c r="B15">
        <v>0.56272029999999995</v>
      </c>
      <c r="C15">
        <v>3.2385829999999997E-2</v>
      </c>
      <c r="D15">
        <v>0.5550638</v>
      </c>
      <c r="E15">
        <v>1.0790690000000001</v>
      </c>
      <c r="F15">
        <v>0.52138910000000005</v>
      </c>
      <c r="G15">
        <v>5.2577860000000003</v>
      </c>
      <c r="H15">
        <v>0.52197579999999999</v>
      </c>
      <c r="I15">
        <v>8.9352330000000002</v>
      </c>
      <c r="K15">
        <v>0.55537219999999998</v>
      </c>
      <c r="L15" s="4">
        <v>-6.3012230000000003E-6</v>
      </c>
      <c r="N15">
        <v>120.2595</v>
      </c>
      <c r="O15" s="4">
        <v>-2.8796229999999999E-8</v>
      </c>
    </row>
    <row r="16" spans="2:15" x14ac:dyDescent="0.55000000000000004">
      <c r="B16">
        <v>0.60862910000000003</v>
      </c>
      <c r="C16">
        <v>4.0226709999999999E-2</v>
      </c>
      <c r="D16">
        <v>0.60175239999999997</v>
      </c>
      <c r="E16">
        <v>1.14897</v>
      </c>
      <c r="F16">
        <v>0.56545259999999997</v>
      </c>
      <c r="G16">
        <v>5.6514639999999998</v>
      </c>
      <c r="H16">
        <v>0.56705059999999996</v>
      </c>
      <c r="I16">
        <v>9.6467729999999996</v>
      </c>
      <c r="K16">
        <v>0.60197590000000001</v>
      </c>
      <c r="L16" s="5">
        <v>3.9371269999999997E-6</v>
      </c>
      <c r="N16">
        <v>130.30289999999999</v>
      </c>
      <c r="O16" s="4">
        <v>-3.1783389999999999E-8</v>
      </c>
    </row>
    <row r="17" spans="2:15" x14ac:dyDescent="0.55000000000000004">
      <c r="B17">
        <v>0.65699229999999997</v>
      </c>
      <c r="C17">
        <v>3.7223819999999998E-2</v>
      </c>
      <c r="D17">
        <v>0.64743689999999998</v>
      </c>
      <c r="E17">
        <v>1.219705</v>
      </c>
      <c r="F17">
        <v>0.61046440000000002</v>
      </c>
      <c r="G17">
        <v>6.0463089999999999</v>
      </c>
      <c r="H17">
        <v>0.61206970000000005</v>
      </c>
      <c r="I17">
        <v>10.357480000000001</v>
      </c>
      <c r="K17">
        <v>0.64992669999999997</v>
      </c>
      <c r="L17" s="5">
        <v>8.6625200000000002E-6</v>
      </c>
      <c r="N17">
        <v>140.31610000000001</v>
      </c>
      <c r="O17" s="4">
        <v>-3.3613030000000001E-8</v>
      </c>
    </row>
    <row r="18" spans="2:15" x14ac:dyDescent="0.55000000000000004">
      <c r="B18">
        <v>0.70440720000000001</v>
      </c>
      <c r="C18">
        <v>3.9225749999999997E-2</v>
      </c>
      <c r="D18">
        <v>0.69446010000000002</v>
      </c>
      <c r="E18">
        <v>1.2856019999999999</v>
      </c>
      <c r="F18">
        <v>0.6534124</v>
      </c>
      <c r="G18">
        <v>6.4436559999999998</v>
      </c>
      <c r="H18">
        <v>0.65586140000000004</v>
      </c>
      <c r="I18">
        <v>11.065849999999999</v>
      </c>
      <c r="K18">
        <v>0.69593430000000001</v>
      </c>
      <c r="L18" s="4">
        <v>-3.5447440000000001E-6</v>
      </c>
      <c r="N18">
        <v>150.35929999999999</v>
      </c>
      <c r="O18" s="4">
        <v>-3.4770550000000003E-8</v>
      </c>
    </row>
    <row r="19" spans="2:15" x14ac:dyDescent="0.55000000000000004">
      <c r="B19">
        <v>0.75070650000000005</v>
      </c>
      <c r="C19">
        <v>4.1394500000000001E-2</v>
      </c>
      <c r="D19">
        <v>0.74064660000000004</v>
      </c>
      <c r="E19">
        <v>1.349998</v>
      </c>
      <c r="F19">
        <v>0.69613729999999996</v>
      </c>
      <c r="G19">
        <v>6.8296609999999998</v>
      </c>
      <c r="H19">
        <v>0.69703130000000002</v>
      </c>
      <c r="I19">
        <v>11.763540000000001</v>
      </c>
      <c r="K19">
        <v>0.74275259999999999</v>
      </c>
      <c r="L19" s="4">
        <v>-2.363396E-6</v>
      </c>
      <c r="N19">
        <v>160.40780000000001</v>
      </c>
      <c r="O19" s="4">
        <v>-3.602143E-8</v>
      </c>
    </row>
    <row r="20" spans="2:15" x14ac:dyDescent="0.55000000000000004">
      <c r="B20">
        <v>0.79639210000000005</v>
      </c>
      <c r="C20">
        <v>4.3896909999999997E-2</v>
      </c>
      <c r="D20">
        <v>0.78661000000000003</v>
      </c>
      <c r="E20">
        <v>1.4142269999999999</v>
      </c>
      <c r="F20">
        <v>0.74187420000000004</v>
      </c>
      <c r="G20">
        <v>7.2101600000000001</v>
      </c>
      <c r="H20">
        <v>0.74227350000000003</v>
      </c>
      <c r="I20">
        <v>12.45757</v>
      </c>
      <c r="K20">
        <v>0.78870770000000001</v>
      </c>
      <c r="L20" s="4">
        <v>-8.6639190000000005E-6</v>
      </c>
      <c r="N20">
        <v>170.41460000000001</v>
      </c>
      <c r="O20" s="4">
        <v>-3.7888400000000003E-8</v>
      </c>
    </row>
    <row r="21" spans="2:15" x14ac:dyDescent="0.55000000000000004">
      <c r="B21">
        <v>0.84486689999999998</v>
      </c>
      <c r="C21">
        <v>4.5565179999999997E-2</v>
      </c>
      <c r="D21">
        <v>0.83441419999999999</v>
      </c>
      <c r="E21">
        <v>1.4719500000000001</v>
      </c>
      <c r="F21">
        <v>0.78627230000000004</v>
      </c>
      <c r="G21">
        <v>7.590827</v>
      </c>
      <c r="H21">
        <v>0.78706940000000003</v>
      </c>
      <c r="I21">
        <v>13.15025</v>
      </c>
      <c r="K21">
        <v>0.84782360000000001</v>
      </c>
      <c r="L21" s="4">
        <v>-2.7571790000000001E-6</v>
      </c>
      <c r="N21">
        <v>180.4571</v>
      </c>
      <c r="O21" s="4">
        <v>-3.8504510000000002E-8</v>
      </c>
    </row>
    <row r="22" spans="2:15" x14ac:dyDescent="0.55000000000000004">
      <c r="B22">
        <v>0.89127780000000001</v>
      </c>
      <c r="C22">
        <v>4.7400280000000003E-2</v>
      </c>
      <c r="D22">
        <v>0.87954080000000001</v>
      </c>
      <c r="E22">
        <v>1.53451</v>
      </c>
      <c r="F22">
        <v>0.83150710000000005</v>
      </c>
      <c r="G22">
        <v>7.9653210000000003</v>
      </c>
      <c r="H22">
        <v>0.82857400000000003</v>
      </c>
      <c r="I22">
        <v>13.83527</v>
      </c>
      <c r="K22">
        <v>0.8811021</v>
      </c>
      <c r="L22" s="5">
        <v>2.3619959999999999E-6</v>
      </c>
      <c r="N22">
        <v>190.5214</v>
      </c>
      <c r="O22" s="4">
        <v>-3.9830059999999999E-8</v>
      </c>
    </row>
    <row r="23" spans="2:15" x14ac:dyDescent="0.55000000000000004">
      <c r="B23">
        <v>0.93690759999999995</v>
      </c>
      <c r="C23">
        <v>5.4240200000000002E-2</v>
      </c>
      <c r="D23">
        <v>0.92717769999999999</v>
      </c>
      <c r="E23">
        <v>1.596571</v>
      </c>
      <c r="F23">
        <v>0.87674200000000002</v>
      </c>
      <c r="G23">
        <v>8.3448200000000003</v>
      </c>
      <c r="H23">
        <v>0.87571290000000002</v>
      </c>
      <c r="I23">
        <v>14.531129999999999</v>
      </c>
      <c r="K23">
        <v>0.92781069999999999</v>
      </c>
      <c r="L23" s="5">
        <v>7.4811710000000003E-6</v>
      </c>
      <c r="N23">
        <v>200.51509999999999</v>
      </c>
      <c r="O23" s="4">
        <v>-4.0352810000000003E-8</v>
      </c>
    </row>
    <row r="24" spans="2:15" x14ac:dyDescent="0.55000000000000004">
      <c r="B24">
        <v>0.9858287</v>
      </c>
      <c r="C24">
        <v>5.0236339999999997E-2</v>
      </c>
      <c r="D24">
        <v>0.97102140000000003</v>
      </c>
      <c r="E24">
        <v>1.658798</v>
      </c>
      <c r="F24">
        <v>0.92035940000000005</v>
      </c>
      <c r="G24">
        <v>8.7096389999999992</v>
      </c>
      <c r="H24">
        <v>0.91777529999999996</v>
      </c>
      <c r="I24">
        <v>15.20613</v>
      </c>
      <c r="K24">
        <v>0.97457649999999996</v>
      </c>
      <c r="L24" s="5">
        <v>8.2687370000000005E-6</v>
      </c>
      <c r="N24">
        <v>210.57069999999999</v>
      </c>
      <c r="O24" s="4">
        <v>-4.2443829999999998E-8</v>
      </c>
    </row>
    <row r="25" spans="2:15" x14ac:dyDescent="0.55000000000000004">
      <c r="B25">
        <v>1.0306219999999999</v>
      </c>
      <c r="C25">
        <v>5.3906549999999998E-2</v>
      </c>
      <c r="D25">
        <v>1.0183789999999999</v>
      </c>
      <c r="E25">
        <v>1.711849</v>
      </c>
      <c r="F25">
        <v>0.96431129999999998</v>
      </c>
      <c r="G25">
        <v>9.0888039999999997</v>
      </c>
      <c r="H25">
        <v>0.96245970000000003</v>
      </c>
      <c r="I25">
        <v>15.881970000000001</v>
      </c>
      <c r="K25">
        <v>1.0213399999999999</v>
      </c>
      <c r="L25" s="4">
        <v>-2.7571790000000001E-6</v>
      </c>
      <c r="N25">
        <v>220.61750000000001</v>
      </c>
      <c r="O25" s="4">
        <v>-4.2761210000000002E-8</v>
      </c>
    </row>
    <row r="26" spans="2:15" x14ac:dyDescent="0.55000000000000004">
      <c r="B26">
        <v>1.0905879999999999</v>
      </c>
      <c r="C26">
        <v>5.8410879999999998E-2</v>
      </c>
      <c r="D26">
        <v>1.080463</v>
      </c>
      <c r="E26">
        <v>1.7849200000000001</v>
      </c>
      <c r="F26">
        <v>1.024494</v>
      </c>
      <c r="G26">
        <v>9.5914110000000008</v>
      </c>
      <c r="H26">
        <v>1.0208120000000001</v>
      </c>
      <c r="I26">
        <v>16.816230000000001</v>
      </c>
      <c r="K26">
        <v>1.067941</v>
      </c>
      <c r="L26" s="4">
        <v>-3.5447440000000001E-6</v>
      </c>
      <c r="N26">
        <v>230.61869999999999</v>
      </c>
      <c r="O26" s="4">
        <v>-4.2705200000000002E-8</v>
      </c>
    </row>
    <row r="27" spans="2:15" x14ac:dyDescent="0.55000000000000004">
      <c r="B27">
        <v>1.1236109999999999</v>
      </c>
      <c r="C27">
        <v>5.8077230000000001E-2</v>
      </c>
      <c r="D27">
        <v>1.111199</v>
      </c>
      <c r="E27">
        <v>1.826794</v>
      </c>
      <c r="F27">
        <v>1.054</v>
      </c>
      <c r="G27">
        <v>9.8207780000000007</v>
      </c>
      <c r="H27">
        <v>1.050322</v>
      </c>
      <c r="I27">
        <v>17.223469999999999</v>
      </c>
      <c r="K27">
        <v>1.113572</v>
      </c>
      <c r="L27" s="4">
        <v>-8.2701370000000002E-6</v>
      </c>
      <c r="N27">
        <v>240.67349999999999</v>
      </c>
      <c r="O27" s="4">
        <v>-4.333997E-8</v>
      </c>
    </row>
    <row r="28" spans="2:15" x14ac:dyDescent="0.55000000000000004">
      <c r="B28">
        <v>1.172922</v>
      </c>
      <c r="C28">
        <v>5.6742609999999999E-2</v>
      </c>
      <c r="D28">
        <v>1.1588909999999999</v>
      </c>
      <c r="E28">
        <v>1.880179</v>
      </c>
      <c r="F28">
        <v>1.0990679999999999</v>
      </c>
      <c r="G28">
        <v>10.1921</v>
      </c>
      <c r="H28">
        <v>1.0943369999999999</v>
      </c>
      <c r="I28">
        <v>17.89564</v>
      </c>
      <c r="K28">
        <v>1.159635</v>
      </c>
      <c r="L28" s="5">
        <v>3.1495620000000001E-6</v>
      </c>
      <c r="N28">
        <v>250.7313</v>
      </c>
      <c r="O28" s="4">
        <v>-4.4049429999999998E-8</v>
      </c>
    </row>
    <row r="29" spans="2:15" x14ac:dyDescent="0.55000000000000004">
      <c r="B29">
        <v>1.2195009999999999</v>
      </c>
      <c r="C29">
        <v>6.1580599999999999E-2</v>
      </c>
      <c r="D29">
        <v>1.20597</v>
      </c>
      <c r="E29">
        <v>1.9338979999999999</v>
      </c>
      <c r="F29">
        <v>1.144247</v>
      </c>
      <c r="G29">
        <v>10.55242</v>
      </c>
      <c r="H29">
        <v>1.1375150000000001</v>
      </c>
      <c r="I29">
        <v>18.562470000000001</v>
      </c>
      <c r="K29">
        <v>1.205697</v>
      </c>
      <c r="L29" s="5">
        <v>6.6936060000000003E-6</v>
      </c>
      <c r="N29">
        <v>260.72710000000001</v>
      </c>
      <c r="O29" s="4">
        <v>-4.5356309999999999E-8</v>
      </c>
    </row>
    <row r="30" spans="2:15" x14ac:dyDescent="0.55000000000000004">
      <c r="B30">
        <v>1.2645729999999999</v>
      </c>
      <c r="C30">
        <v>6.5250799999999998E-2</v>
      </c>
      <c r="D30">
        <v>1.252157</v>
      </c>
      <c r="E30">
        <v>1.9836130000000001</v>
      </c>
      <c r="F30">
        <v>1.1904300000000001</v>
      </c>
      <c r="G30">
        <v>10.9084</v>
      </c>
      <c r="H30">
        <v>1.1823669999999999</v>
      </c>
      <c r="I30">
        <v>19.210940000000001</v>
      </c>
      <c r="K30">
        <v>1.2720419999999999</v>
      </c>
      <c r="L30" s="5">
        <v>3.9308280000000002E-7</v>
      </c>
      <c r="N30">
        <v>270.76949999999999</v>
      </c>
      <c r="O30" s="4">
        <v>-4.5244289999999998E-8</v>
      </c>
    </row>
    <row r="31" spans="2:15" x14ac:dyDescent="0.55000000000000004">
      <c r="B31">
        <v>1.312657</v>
      </c>
      <c r="C31">
        <v>6.4083009999999996E-2</v>
      </c>
      <c r="D31">
        <v>1.2987340000000001</v>
      </c>
      <c r="E31">
        <v>2.0396670000000001</v>
      </c>
      <c r="F31">
        <v>1.237115</v>
      </c>
      <c r="G31">
        <v>11.26971</v>
      </c>
      <c r="H31">
        <v>1.2258800000000001</v>
      </c>
      <c r="I31">
        <v>19.869759999999999</v>
      </c>
      <c r="K31">
        <v>1.300735</v>
      </c>
      <c r="L31" s="4">
        <v>-3.9385270000000002E-6</v>
      </c>
      <c r="N31">
        <v>280.82060000000001</v>
      </c>
      <c r="O31" s="4">
        <v>-4.712994E-8</v>
      </c>
    </row>
    <row r="32" spans="2:15" x14ac:dyDescent="0.55000000000000004">
      <c r="B32">
        <v>1.358287</v>
      </c>
      <c r="C32">
        <v>7.1923890000000004E-2</v>
      </c>
      <c r="D32">
        <v>1.3457570000000001</v>
      </c>
      <c r="E32">
        <v>2.0915509999999999</v>
      </c>
      <c r="F32">
        <v>1.283131</v>
      </c>
      <c r="G32">
        <v>11.62419</v>
      </c>
      <c r="H32">
        <v>1.2696719999999999</v>
      </c>
      <c r="I32">
        <v>20.517569999999999</v>
      </c>
      <c r="K32">
        <v>1.3464739999999999</v>
      </c>
      <c r="L32" s="4">
        <v>-6.695006E-6</v>
      </c>
      <c r="N32">
        <v>290.82780000000002</v>
      </c>
      <c r="O32" s="4">
        <v>-4.7316639999999997E-8</v>
      </c>
    </row>
    <row r="33" spans="2:15" x14ac:dyDescent="0.55000000000000004">
      <c r="B33">
        <v>1.4055340000000001</v>
      </c>
      <c r="C33">
        <v>6.9087830000000003E-2</v>
      </c>
      <c r="D33">
        <v>1.389545</v>
      </c>
      <c r="E33">
        <v>2.1471049999999998</v>
      </c>
      <c r="F33">
        <v>1.327529</v>
      </c>
      <c r="G33">
        <v>11.974</v>
      </c>
      <c r="H33">
        <v>1.3131839999999999</v>
      </c>
      <c r="I33">
        <v>21.164380000000001</v>
      </c>
      <c r="K33">
        <v>1.393561</v>
      </c>
      <c r="L33" s="4">
        <v>-7.0887889999999997E-6</v>
      </c>
      <c r="N33">
        <v>300.88440000000003</v>
      </c>
      <c r="O33" s="4">
        <v>-4.6681860000000002E-8</v>
      </c>
    </row>
    <row r="34" spans="2:15" x14ac:dyDescent="0.55000000000000004">
      <c r="B34">
        <v>1.4538979999999999</v>
      </c>
      <c r="C34">
        <v>6.8920999999999996E-2</v>
      </c>
      <c r="D34">
        <v>1.4377390000000001</v>
      </c>
      <c r="E34">
        <v>2.195986</v>
      </c>
      <c r="F34">
        <v>1.37321</v>
      </c>
      <c r="G34">
        <v>12.329140000000001</v>
      </c>
      <c r="H34">
        <v>1.3563069999999999</v>
      </c>
      <c r="I34">
        <v>21.818529999999999</v>
      </c>
      <c r="K34">
        <v>1.439786</v>
      </c>
      <c r="L34" s="5">
        <v>5.9060410000000004E-6</v>
      </c>
      <c r="N34">
        <v>310.93029999999999</v>
      </c>
      <c r="O34" s="4">
        <v>-4.718595E-8</v>
      </c>
    </row>
    <row r="35" spans="2:15" x14ac:dyDescent="0.55000000000000004">
      <c r="B35">
        <v>1.4990250000000001</v>
      </c>
      <c r="C35">
        <v>7.2758030000000001E-2</v>
      </c>
      <c r="D35">
        <v>1.48532</v>
      </c>
      <c r="E35">
        <v>2.2428650000000001</v>
      </c>
      <c r="F35">
        <v>1.4187240000000001</v>
      </c>
      <c r="G35">
        <v>12.68328</v>
      </c>
      <c r="H35">
        <v>1.4000429999999999</v>
      </c>
      <c r="I35">
        <v>22.469180000000001</v>
      </c>
      <c r="K35">
        <v>1.486442</v>
      </c>
      <c r="L35" s="5">
        <v>6.2998229999999998E-6</v>
      </c>
      <c r="N35">
        <v>320.93110000000001</v>
      </c>
      <c r="O35" s="4">
        <v>-4.8231450000000001E-8</v>
      </c>
    </row>
    <row r="36" spans="2:15" x14ac:dyDescent="0.55000000000000004">
      <c r="B36">
        <v>1.546942</v>
      </c>
      <c r="C36">
        <v>7.4926779999999998E-2</v>
      </c>
      <c r="D36">
        <v>1.5319529999999999</v>
      </c>
      <c r="E36">
        <v>2.2927460000000002</v>
      </c>
      <c r="F36">
        <v>1.46407</v>
      </c>
      <c r="G36">
        <v>13.029249999999999</v>
      </c>
      <c r="H36">
        <v>1.4447270000000001</v>
      </c>
      <c r="I36">
        <v>23.100470000000001</v>
      </c>
      <c r="K36">
        <v>1.531048</v>
      </c>
      <c r="L36" s="4">
        <v>-3.1509620000000002E-6</v>
      </c>
      <c r="N36">
        <v>330.97519999999997</v>
      </c>
      <c r="O36" s="4">
        <v>-4.879155E-8</v>
      </c>
    </row>
    <row r="37" spans="2:15" x14ac:dyDescent="0.55000000000000004">
      <c r="B37">
        <v>1.593799</v>
      </c>
      <c r="C37">
        <v>7.4593129999999994E-2</v>
      </c>
      <c r="D37">
        <v>1.578195</v>
      </c>
      <c r="E37">
        <v>2.3416269999999999</v>
      </c>
      <c r="F37">
        <v>1.5092490000000001</v>
      </c>
      <c r="G37">
        <v>13.373390000000001</v>
      </c>
      <c r="H37">
        <v>1.4884630000000001</v>
      </c>
      <c r="I37">
        <v>23.733599999999999</v>
      </c>
      <c r="K37">
        <v>1.5782449999999999</v>
      </c>
      <c r="L37" s="4">
        <v>-6.695006E-6</v>
      </c>
      <c r="N37">
        <v>341.03059999999999</v>
      </c>
      <c r="O37" s="4">
        <v>-4.9071589999999999E-8</v>
      </c>
    </row>
    <row r="38" spans="2:15" x14ac:dyDescent="0.55000000000000004">
      <c r="B38">
        <v>1.639429</v>
      </c>
      <c r="C38">
        <v>8.0598909999999996E-2</v>
      </c>
      <c r="D38">
        <v>1.6246050000000001</v>
      </c>
      <c r="E38">
        <v>2.3938440000000001</v>
      </c>
      <c r="F38">
        <v>1.555655</v>
      </c>
      <c r="G38">
        <v>13.714180000000001</v>
      </c>
      <c r="H38">
        <v>1.5298</v>
      </c>
      <c r="I38">
        <v>24.368230000000001</v>
      </c>
      <c r="K38">
        <v>1.624522</v>
      </c>
      <c r="L38" s="5">
        <v>3.9371269999999997E-6</v>
      </c>
      <c r="N38">
        <v>351.03710000000001</v>
      </c>
      <c r="O38" s="4">
        <v>-4.9407650000000002E-8</v>
      </c>
    </row>
    <row r="39" spans="2:15" x14ac:dyDescent="0.55000000000000004">
      <c r="B39">
        <v>1.6866209999999999</v>
      </c>
      <c r="C39">
        <v>7.8430150000000004E-2</v>
      </c>
      <c r="D39">
        <v>1.668895</v>
      </c>
      <c r="E39">
        <v>2.4458950000000002</v>
      </c>
      <c r="F39">
        <v>1.6003879999999999</v>
      </c>
      <c r="G39">
        <v>14.057650000000001</v>
      </c>
      <c r="H39">
        <v>1.5741499999999999</v>
      </c>
      <c r="I39">
        <v>24.98902</v>
      </c>
      <c r="K39">
        <v>1.695397</v>
      </c>
      <c r="L39" s="4">
        <v>-4.7260920000000002E-6</v>
      </c>
      <c r="N39">
        <v>361.0883</v>
      </c>
      <c r="O39" s="4">
        <v>-4.9239620000000001E-8</v>
      </c>
    </row>
    <row r="40" spans="2:15" x14ac:dyDescent="0.55000000000000004">
      <c r="B40">
        <v>1.734426</v>
      </c>
      <c r="C40">
        <v>8.2767660000000007E-2</v>
      </c>
      <c r="D40">
        <v>1.7160299999999999</v>
      </c>
      <c r="E40">
        <v>2.4937749999999999</v>
      </c>
      <c r="F40">
        <v>1.6456789999999999</v>
      </c>
      <c r="G40">
        <v>14.39645</v>
      </c>
      <c r="H40">
        <v>1.618946</v>
      </c>
      <c r="I40">
        <v>25.617139999999999</v>
      </c>
      <c r="K40">
        <v>1.717997</v>
      </c>
      <c r="L40" s="4">
        <v>-7.0887889999999997E-6</v>
      </c>
      <c r="N40">
        <v>371.13690000000003</v>
      </c>
      <c r="O40" s="4">
        <v>-4.9874389999999999E-8</v>
      </c>
    </row>
    <row r="41" spans="2:15" x14ac:dyDescent="0.55000000000000004">
      <c r="B41">
        <v>1.7809489999999999</v>
      </c>
      <c r="C41">
        <v>8.293449E-2</v>
      </c>
      <c r="D41">
        <v>1.764057</v>
      </c>
      <c r="E41">
        <v>2.5413209999999999</v>
      </c>
      <c r="F41">
        <v>1.6902999999999999</v>
      </c>
      <c r="G41">
        <v>14.750260000000001</v>
      </c>
      <c r="H41">
        <v>1.6629050000000001</v>
      </c>
      <c r="I41">
        <v>26.236419999999999</v>
      </c>
      <c r="K41">
        <v>1.764653</v>
      </c>
      <c r="L41" s="4">
        <v>-5.5136580000000004E-6</v>
      </c>
      <c r="N41">
        <v>381.13139999999999</v>
      </c>
      <c r="O41" s="4">
        <v>-5.0677189999999999E-8</v>
      </c>
    </row>
    <row r="42" spans="2:15" x14ac:dyDescent="0.55000000000000004">
      <c r="B42">
        <v>1.828754</v>
      </c>
      <c r="C42">
        <v>8.2267179999999995E-2</v>
      </c>
      <c r="D42">
        <v>1.8119730000000001</v>
      </c>
      <c r="E42">
        <v>2.5848629999999999</v>
      </c>
      <c r="F42">
        <v>1.7368729999999999</v>
      </c>
      <c r="G42">
        <v>15.088889999999999</v>
      </c>
      <c r="H42">
        <v>1.7036290000000001</v>
      </c>
      <c r="I42">
        <v>26.85737</v>
      </c>
      <c r="K42">
        <v>1.8108770000000001</v>
      </c>
      <c r="L42" s="4">
        <v>-7.0887889999999997E-6</v>
      </c>
      <c r="N42">
        <v>391.18579999999997</v>
      </c>
      <c r="O42" s="4">
        <v>-5.0602519999999999E-8</v>
      </c>
    </row>
    <row r="43" spans="2:15" x14ac:dyDescent="0.55000000000000004">
      <c r="B43">
        <v>1.87232</v>
      </c>
      <c r="C43">
        <v>8.8940270000000002E-2</v>
      </c>
      <c r="D43">
        <v>1.856374</v>
      </c>
      <c r="E43">
        <v>2.6329099999999999</v>
      </c>
      <c r="F43">
        <v>1.7828889999999999</v>
      </c>
      <c r="G43">
        <v>15.411670000000001</v>
      </c>
      <c r="H43">
        <v>1.747476</v>
      </c>
      <c r="I43">
        <v>27.45196</v>
      </c>
      <c r="K43">
        <v>1.8579650000000001</v>
      </c>
      <c r="L43" s="5">
        <v>5.5122579999999998E-6</v>
      </c>
      <c r="N43">
        <v>401.23860000000002</v>
      </c>
      <c r="O43" s="4">
        <v>-5.078921E-8</v>
      </c>
    </row>
    <row r="44" spans="2:15" x14ac:dyDescent="0.55000000000000004">
      <c r="B44">
        <v>1.9218550000000001</v>
      </c>
      <c r="C44">
        <v>8.9440749999999999E-2</v>
      </c>
      <c r="D44">
        <v>1.9014450000000001</v>
      </c>
      <c r="E44">
        <v>2.6862949999999999</v>
      </c>
      <c r="F44">
        <v>1.829016</v>
      </c>
      <c r="G44">
        <v>15.744630000000001</v>
      </c>
      <c r="H44">
        <v>1.7908219999999999</v>
      </c>
      <c r="I44">
        <v>28.066739999999999</v>
      </c>
      <c r="K44">
        <v>1.904404</v>
      </c>
      <c r="L44" s="4">
        <v>-1.575831E-6</v>
      </c>
      <c r="N44">
        <v>411.24529999999999</v>
      </c>
      <c r="O44" s="4">
        <v>-5.2357470000000001E-8</v>
      </c>
    </row>
    <row r="45" spans="2:15" x14ac:dyDescent="0.55000000000000004">
      <c r="B45">
        <v>1.9691019999999999</v>
      </c>
      <c r="C45">
        <v>8.8773439999999995E-2</v>
      </c>
      <c r="D45">
        <v>1.951257</v>
      </c>
      <c r="E45">
        <v>2.7268340000000002</v>
      </c>
      <c r="F45">
        <v>1.8745860000000001</v>
      </c>
      <c r="G45">
        <v>16.078589999999998</v>
      </c>
      <c r="H45">
        <v>1.8336650000000001</v>
      </c>
      <c r="I45">
        <v>28.67952</v>
      </c>
      <c r="K45">
        <v>1.9494959999999999</v>
      </c>
      <c r="L45" s="5">
        <v>3.9308280000000002E-7</v>
      </c>
      <c r="N45">
        <v>421.28829999999999</v>
      </c>
      <c r="O45" s="4">
        <v>-5.1274630000000002E-8</v>
      </c>
    </row>
    <row r="46" spans="2:15" x14ac:dyDescent="0.55000000000000004">
      <c r="B46">
        <v>2.014119</v>
      </c>
      <c r="C46">
        <v>9.6280669999999999E-2</v>
      </c>
      <c r="D46">
        <v>1.997109</v>
      </c>
      <c r="E46">
        <v>2.7728790000000001</v>
      </c>
      <c r="F46">
        <v>1.919319</v>
      </c>
      <c r="G46">
        <v>16.408370000000001</v>
      </c>
      <c r="H46">
        <v>1.877178</v>
      </c>
      <c r="I46">
        <v>29.271100000000001</v>
      </c>
      <c r="K46">
        <v>1.9960979999999999</v>
      </c>
      <c r="L46" s="5">
        <v>3.9371269999999997E-6</v>
      </c>
      <c r="N46">
        <v>431.34179999999998</v>
      </c>
      <c r="O46" s="4">
        <v>-5.2133440000000002E-8</v>
      </c>
    </row>
    <row r="47" spans="2:15" x14ac:dyDescent="0.55000000000000004">
      <c r="B47">
        <v>2.0622029999999998</v>
      </c>
      <c r="C47">
        <v>9.2777299999999993E-2</v>
      </c>
      <c r="D47">
        <v>2.0419010000000002</v>
      </c>
      <c r="E47">
        <v>2.8274319999999999</v>
      </c>
      <c r="F47">
        <v>1.9656690000000001</v>
      </c>
      <c r="G47">
        <v>16.742329999999999</v>
      </c>
      <c r="H47">
        <v>1.920245</v>
      </c>
      <c r="I47">
        <v>29.886379999999999</v>
      </c>
      <c r="K47">
        <v>2.0428609999999998</v>
      </c>
      <c r="L47" s="5">
        <v>5.1184750000000002E-6</v>
      </c>
      <c r="N47">
        <v>441.33789999999999</v>
      </c>
      <c r="O47" s="4">
        <v>-5.3346969999999998E-8</v>
      </c>
    </row>
    <row r="48" spans="2:15" x14ac:dyDescent="0.55000000000000004">
      <c r="B48">
        <v>2.1089479999999998</v>
      </c>
      <c r="C48">
        <v>9.4779219999999997E-2</v>
      </c>
      <c r="D48">
        <v>2.0903749999999999</v>
      </c>
      <c r="E48">
        <v>2.8653019999999998</v>
      </c>
      <c r="F48">
        <v>2.010904</v>
      </c>
      <c r="G48">
        <v>17.070789999999999</v>
      </c>
      <c r="H48">
        <v>1.9624740000000001</v>
      </c>
      <c r="I48">
        <v>30.479140000000001</v>
      </c>
      <c r="K48">
        <v>2.1210719999999998</v>
      </c>
      <c r="L48" s="5">
        <v>1.850709E-5</v>
      </c>
      <c r="N48">
        <v>451.3972</v>
      </c>
      <c r="O48" s="4">
        <v>-5.4000409999999999E-8</v>
      </c>
    </row>
    <row r="49" spans="2:15" x14ac:dyDescent="0.55000000000000004">
      <c r="B49">
        <v>2.1828599999999998</v>
      </c>
      <c r="C49">
        <v>9.3277769999999996E-2</v>
      </c>
      <c r="D49">
        <v>2.1644519999999998</v>
      </c>
      <c r="E49">
        <v>2.937872</v>
      </c>
      <c r="F49">
        <v>2.082856</v>
      </c>
      <c r="G49">
        <v>17.654299999999999</v>
      </c>
      <c r="H49">
        <v>2.0343819999999999</v>
      </c>
      <c r="I49">
        <v>31.56522</v>
      </c>
      <c r="K49">
        <v>2.1355270000000002</v>
      </c>
      <c r="L49" s="5">
        <v>2.008222E-5</v>
      </c>
      <c r="N49">
        <v>461.44119999999998</v>
      </c>
      <c r="O49" s="4">
        <v>-5.3533670000000002E-8</v>
      </c>
    </row>
    <row r="50" spans="2:15" x14ac:dyDescent="0.55000000000000004">
      <c r="B50">
        <v>2.203109</v>
      </c>
      <c r="C50">
        <v>9.7114800000000001E-2</v>
      </c>
      <c r="D50">
        <v>2.1840310000000001</v>
      </c>
      <c r="E50">
        <v>2.956223</v>
      </c>
      <c r="F50">
        <v>2.101318</v>
      </c>
      <c r="G50">
        <v>17.723189999999999</v>
      </c>
      <c r="H50">
        <v>2.0484960000000001</v>
      </c>
      <c r="I50">
        <v>31.676659999999998</v>
      </c>
      <c r="K50">
        <v>2.1826150000000002</v>
      </c>
      <c r="L50" s="5">
        <v>3.8983789999999997E-5</v>
      </c>
      <c r="N50">
        <v>471.44940000000003</v>
      </c>
      <c r="O50" s="4">
        <v>-5.3869720000000002E-8</v>
      </c>
    </row>
    <row r="51" spans="2:15" x14ac:dyDescent="0.55000000000000004">
      <c r="B51">
        <v>2.2501329999999999</v>
      </c>
      <c r="C51">
        <v>0.10262010000000001</v>
      </c>
      <c r="D51">
        <v>2.2273170000000002</v>
      </c>
      <c r="E51">
        <v>3.0037699999999998</v>
      </c>
      <c r="F51">
        <v>2.1458279999999998</v>
      </c>
      <c r="G51">
        <v>18.057649999999999</v>
      </c>
      <c r="H51">
        <v>2.0913949999999999</v>
      </c>
      <c r="I51">
        <v>32.277259999999998</v>
      </c>
      <c r="K51">
        <v>2.2298619999999998</v>
      </c>
      <c r="L51" s="5">
        <v>6.5367230000000002E-5</v>
      </c>
      <c r="N51">
        <v>481.49419999999998</v>
      </c>
      <c r="O51" s="4">
        <v>-5.4635179999999997E-8</v>
      </c>
    </row>
    <row r="52" spans="2:15" x14ac:dyDescent="0.55000000000000004">
      <c r="B52">
        <v>2.2953730000000001</v>
      </c>
      <c r="C52">
        <v>0.1032874</v>
      </c>
      <c r="D52">
        <v>2.2774640000000002</v>
      </c>
      <c r="E52">
        <v>3.0479790000000002</v>
      </c>
      <c r="F52">
        <v>2.1916199999999999</v>
      </c>
      <c r="G52">
        <v>18.380099999999999</v>
      </c>
      <c r="H52">
        <v>2.1346289999999999</v>
      </c>
      <c r="I52">
        <v>32.876690000000004</v>
      </c>
      <c r="K52">
        <v>2.275655</v>
      </c>
      <c r="L52" s="5">
        <v>7.7968270000000002E-5</v>
      </c>
      <c r="N52">
        <v>491.53919999999999</v>
      </c>
      <c r="O52" s="4">
        <v>-5.3813710000000002E-8</v>
      </c>
    </row>
    <row r="53" spans="2:15" x14ac:dyDescent="0.55000000000000004">
      <c r="B53">
        <v>2.344182</v>
      </c>
      <c r="C53">
        <v>0.1022865</v>
      </c>
      <c r="D53">
        <v>2.322702</v>
      </c>
      <c r="E53">
        <v>3.0936900000000001</v>
      </c>
      <c r="F53">
        <v>2.236688</v>
      </c>
      <c r="G53">
        <v>18.703379999999999</v>
      </c>
      <c r="H53">
        <v>2.1787559999999999</v>
      </c>
      <c r="I53">
        <v>33.468110000000003</v>
      </c>
      <c r="K53">
        <v>2.3225280000000001</v>
      </c>
      <c r="L53" s="5">
        <v>1.1104599999999999E-4</v>
      </c>
      <c r="N53">
        <v>501.55399999999997</v>
      </c>
      <c r="O53" s="4">
        <v>-5.4579170000000003E-8</v>
      </c>
    </row>
    <row r="54" spans="2:15" x14ac:dyDescent="0.55000000000000004">
      <c r="B54">
        <v>2.3909280000000002</v>
      </c>
      <c r="C54">
        <v>0.1057898</v>
      </c>
      <c r="D54">
        <v>2.369837</v>
      </c>
      <c r="E54">
        <v>3.1387339999999999</v>
      </c>
      <c r="F54">
        <v>2.2808630000000001</v>
      </c>
      <c r="G54">
        <v>19.027159999999999</v>
      </c>
      <c r="H54">
        <v>2.2232729999999998</v>
      </c>
      <c r="I54">
        <v>34.074379999999998</v>
      </c>
      <c r="K54">
        <v>2.3677830000000002</v>
      </c>
      <c r="L54" s="5">
        <v>1.56331E-4</v>
      </c>
      <c r="N54">
        <v>511.59719999999999</v>
      </c>
      <c r="O54" s="4">
        <v>-5.3869720000000002E-8</v>
      </c>
    </row>
    <row r="55" spans="2:15" x14ac:dyDescent="0.55000000000000004">
      <c r="B55">
        <v>2.437729</v>
      </c>
      <c r="C55">
        <v>0.1062903</v>
      </c>
      <c r="D55">
        <v>2.4163579999999998</v>
      </c>
      <c r="E55">
        <v>3.1814420000000001</v>
      </c>
      <c r="F55">
        <v>2.3290540000000002</v>
      </c>
      <c r="G55">
        <v>19.346779999999999</v>
      </c>
      <c r="H55">
        <v>2.2646099999999998</v>
      </c>
      <c r="I55">
        <v>34.68515</v>
      </c>
      <c r="K55">
        <v>2.4137900000000001</v>
      </c>
      <c r="L55" s="5">
        <v>2.114606E-4</v>
      </c>
      <c r="N55">
        <v>521.60379999999998</v>
      </c>
      <c r="O55" s="4">
        <v>-5.377638E-8</v>
      </c>
    </row>
    <row r="56" spans="2:15" x14ac:dyDescent="0.55000000000000004">
      <c r="B56">
        <v>2.4849770000000002</v>
      </c>
      <c r="C56">
        <v>0.10879270000000001</v>
      </c>
      <c r="D56">
        <v>2.4612620000000001</v>
      </c>
      <c r="E56">
        <v>3.2321580000000001</v>
      </c>
      <c r="F56">
        <v>2.372671</v>
      </c>
      <c r="G56">
        <v>19.67306</v>
      </c>
      <c r="H56">
        <v>2.3097400000000001</v>
      </c>
      <c r="I56">
        <v>35.294089999999997</v>
      </c>
      <c r="K56">
        <v>2.4612020000000001</v>
      </c>
      <c r="L56" s="5">
        <v>2.9061089999999999E-4</v>
      </c>
      <c r="N56">
        <v>531.65179999999998</v>
      </c>
      <c r="O56" s="4">
        <v>-5.385105E-8</v>
      </c>
    </row>
    <row r="57" spans="2:15" x14ac:dyDescent="0.55000000000000004">
      <c r="B57">
        <v>2.530662</v>
      </c>
      <c r="C57">
        <v>0.1124629</v>
      </c>
      <c r="D57">
        <v>2.5106830000000002</v>
      </c>
      <c r="E57">
        <v>3.269361</v>
      </c>
      <c r="F57">
        <v>2.4199139999999999</v>
      </c>
      <c r="G57">
        <v>19.98817</v>
      </c>
      <c r="H57">
        <v>2.3530859999999998</v>
      </c>
      <c r="I57">
        <v>35.90269</v>
      </c>
      <c r="K57">
        <v>2.5442119999999999</v>
      </c>
      <c r="L57" s="5">
        <v>3.8708770000000001E-4</v>
      </c>
      <c r="N57">
        <v>541.70069999999998</v>
      </c>
      <c r="O57" s="4">
        <v>-5.3608349999999998E-8</v>
      </c>
    </row>
    <row r="58" spans="2:15" x14ac:dyDescent="0.55000000000000004">
      <c r="B58">
        <v>2.5763479999999999</v>
      </c>
      <c r="C58">
        <v>0.1179682</v>
      </c>
      <c r="D58">
        <v>2.5533549999999998</v>
      </c>
      <c r="E58">
        <v>3.3207439999999999</v>
      </c>
      <c r="F58">
        <v>2.464591</v>
      </c>
      <c r="G58">
        <v>20.310459999999999</v>
      </c>
      <c r="H58">
        <v>2.3993880000000001</v>
      </c>
      <c r="I58">
        <v>36.511299999999999</v>
      </c>
      <c r="K58">
        <v>2.5538660000000002</v>
      </c>
      <c r="L58" s="5">
        <v>5.2609300000000005E-4</v>
      </c>
      <c r="N58">
        <v>551.70730000000003</v>
      </c>
      <c r="O58" s="4">
        <v>-5.411243E-8</v>
      </c>
    </row>
    <row r="59" spans="2:15" x14ac:dyDescent="0.55000000000000004">
      <c r="B59">
        <v>2.625883</v>
      </c>
      <c r="C59">
        <v>0.1141312</v>
      </c>
      <c r="D59">
        <v>2.6035029999999999</v>
      </c>
      <c r="E59">
        <v>3.3592810000000002</v>
      </c>
      <c r="F59">
        <v>2.5111089999999998</v>
      </c>
      <c r="G59">
        <v>20.628070000000001</v>
      </c>
      <c r="H59">
        <v>2.4457460000000002</v>
      </c>
      <c r="I59">
        <v>37.130749999999999</v>
      </c>
      <c r="K59">
        <v>2.6000909999999999</v>
      </c>
      <c r="L59" s="5">
        <v>6.9305690000000004E-4</v>
      </c>
      <c r="N59">
        <v>561.76319999999998</v>
      </c>
      <c r="O59" s="4">
        <v>-5.4709870000000003E-8</v>
      </c>
    </row>
    <row r="60" spans="2:15" x14ac:dyDescent="0.55000000000000004">
      <c r="B60">
        <v>2.6702849999999998</v>
      </c>
      <c r="C60">
        <v>0.1204706</v>
      </c>
      <c r="D60">
        <v>2.648406</v>
      </c>
      <c r="E60">
        <v>3.4036569999999999</v>
      </c>
      <c r="F60">
        <v>2.5562320000000001</v>
      </c>
      <c r="G60">
        <v>20.943840000000002</v>
      </c>
      <c r="H60">
        <v>2.490151</v>
      </c>
      <c r="I60">
        <v>37.730840000000001</v>
      </c>
      <c r="K60">
        <v>2.6474479999999998</v>
      </c>
      <c r="L60" s="5">
        <v>8.9073579999999998E-4</v>
      </c>
      <c r="N60">
        <v>571.80709999999999</v>
      </c>
      <c r="O60" s="4">
        <v>-5.3683030000000001E-8</v>
      </c>
    </row>
    <row r="61" spans="2:15" x14ac:dyDescent="0.55000000000000004">
      <c r="B61">
        <v>2.7176439999999999</v>
      </c>
      <c r="C61">
        <v>0.1198033</v>
      </c>
      <c r="D61">
        <v>2.6940909999999998</v>
      </c>
      <c r="E61">
        <v>3.4513699999999998</v>
      </c>
      <c r="F61">
        <v>2.6018569999999999</v>
      </c>
      <c r="G61">
        <v>21.260950000000001</v>
      </c>
      <c r="H61">
        <v>2.5353379999999999</v>
      </c>
      <c r="I61">
        <v>38.345289999999999</v>
      </c>
      <c r="K61">
        <v>2.6942110000000001</v>
      </c>
      <c r="L61">
        <v>1.1478759999999999E-3</v>
      </c>
      <c r="N61">
        <v>581.81129999999996</v>
      </c>
      <c r="O61" s="4">
        <v>-5.3739040000000002E-8</v>
      </c>
    </row>
    <row r="62" spans="2:15" x14ac:dyDescent="0.55000000000000004">
      <c r="B62">
        <v>2.7663419999999999</v>
      </c>
      <c r="C62">
        <v>0.1199701</v>
      </c>
      <c r="D62">
        <v>2.7433450000000001</v>
      </c>
      <c r="E62">
        <v>3.490408</v>
      </c>
      <c r="F62">
        <v>2.6473710000000001</v>
      </c>
      <c r="G62">
        <v>21.5839</v>
      </c>
      <c r="H62">
        <v>2.5790739999999999</v>
      </c>
      <c r="I62">
        <v>38.9589</v>
      </c>
      <c r="K62">
        <v>2.7404899999999999</v>
      </c>
      <c r="L62">
        <v>1.4786529999999999E-3</v>
      </c>
      <c r="N62">
        <v>591.85630000000003</v>
      </c>
      <c r="O62" s="4">
        <v>-5.3085589999999998E-8</v>
      </c>
    </row>
    <row r="63" spans="2:15" x14ac:dyDescent="0.55000000000000004">
      <c r="B63">
        <v>2.8114699999999999</v>
      </c>
      <c r="C63">
        <v>0.123974</v>
      </c>
      <c r="D63">
        <v>2.7879139999999998</v>
      </c>
      <c r="E63">
        <v>3.5339510000000001</v>
      </c>
      <c r="F63">
        <v>2.691379</v>
      </c>
      <c r="G63">
        <v>21.899180000000001</v>
      </c>
      <c r="H63">
        <v>2.6229209999999998</v>
      </c>
      <c r="I63">
        <v>39.550319999999999</v>
      </c>
      <c r="K63">
        <v>2.7861210000000001</v>
      </c>
      <c r="L63">
        <v>1.8673170000000001E-3</v>
      </c>
      <c r="N63">
        <v>601.91330000000005</v>
      </c>
      <c r="O63" s="4">
        <v>-5.2898899999999997E-8</v>
      </c>
    </row>
    <row r="64" spans="2:15" x14ac:dyDescent="0.55000000000000004">
      <c r="B64">
        <v>2.8593869999999999</v>
      </c>
      <c r="C64">
        <v>0.1246413</v>
      </c>
      <c r="D64">
        <v>2.8334869999999999</v>
      </c>
      <c r="E64">
        <v>3.5829979999999999</v>
      </c>
      <c r="F64">
        <v>2.7391239999999999</v>
      </c>
      <c r="G64">
        <v>22.216619999999999</v>
      </c>
      <c r="H64">
        <v>2.6682190000000001</v>
      </c>
      <c r="I64">
        <v>40.160260000000001</v>
      </c>
      <c r="K64">
        <v>2.8321290000000001</v>
      </c>
      <c r="L64">
        <v>2.2355040000000001E-3</v>
      </c>
      <c r="N64">
        <v>611.91700000000003</v>
      </c>
      <c r="O64" s="4">
        <v>-5.2058759999999999E-8</v>
      </c>
    </row>
    <row r="65" spans="2:15" x14ac:dyDescent="0.55000000000000004">
      <c r="B65">
        <v>2.9066350000000001</v>
      </c>
      <c r="C65">
        <v>0.12681010000000001</v>
      </c>
      <c r="D65">
        <v>2.882072</v>
      </c>
      <c r="E65">
        <v>3.620368</v>
      </c>
      <c r="F65">
        <v>2.7829640000000002</v>
      </c>
      <c r="G65">
        <v>22.536239999999999</v>
      </c>
      <c r="H65">
        <v>2.713015</v>
      </c>
      <c r="I65">
        <v>40.770530000000001</v>
      </c>
      <c r="K65">
        <v>2.8778700000000002</v>
      </c>
      <c r="L65">
        <v>2.627711E-3</v>
      </c>
      <c r="N65">
        <v>621.96010000000001</v>
      </c>
      <c r="O65" s="4">
        <v>-5.1199949999999999E-8</v>
      </c>
    </row>
    <row r="66" spans="2:15" x14ac:dyDescent="0.55000000000000004">
      <c r="B66">
        <v>2.9522650000000001</v>
      </c>
      <c r="C66">
        <v>0.12847829999999999</v>
      </c>
      <c r="D66">
        <v>2.9300989999999998</v>
      </c>
      <c r="E66">
        <v>3.6635759999999999</v>
      </c>
      <c r="F66">
        <v>2.8296489999999999</v>
      </c>
      <c r="G66">
        <v>22.851179999999999</v>
      </c>
      <c r="H66">
        <v>2.7580339999999999</v>
      </c>
      <c r="I66">
        <v>41.394480000000001</v>
      </c>
      <c r="K66">
        <v>2.9665970000000002</v>
      </c>
      <c r="L66">
        <v>3.0077120000000001E-3</v>
      </c>
      <c r="N66">
        <v>632.01480000000004</v>
      </c>
      <c r="O66" s="4">
        <v>-5.0210450000000002E-8</v>
      </c>
    </row>
    <row r="67" spans="2:15" x14ac:dyDescent="0.55000000000000004">
      <c r="B67">
        <v>2.9994559999999999</v>
      </c>
      <c r="C67">
        <v>0.1323154</v>
      </c>
      <c r="D67">
        <v>2.9758390000000001</v>
      </c>
      <c r="E67">
        <v>3.707452</v>
      </c>
      <c r="F67">
        <v>2.874717</v>
      </c>
      <c r="G67">
        <v>23.163620000000002</v>
      </c>
      <c r="H67">
        <v>2.80138</v>
      </c>
      <c r="I67">
        <v>41.985900000000001</v>
      </c>
      <c r="K67">
        <v>2.9710719999999999</v>
      </c>
      <c r="L67">
        <v>3.4050389999999999E-3</v>
      </c>
      <c r="N67">
        <v>642.00760000000002</v>
      </c>
      <c r="O67" s="4">
        <v>-4.9463660000000003E-8</v>
      </c>
    </row>
    <row r="68" spans="2:15" x14ac:dyDescent="0.55000000000000004">
      <c r="B68">
        <v>3.0465360000000001</v>
      </c>
      <c r="C68">
        <v>0.12964609999999999</v>
      </c>
      <c r="D68">
        <v>3.020743</v>
      </c>
      <c r="E68">
        <v>3.7524959999999998</v>
      </c>
      <c r="F68">
        <v>2.919394</v>
      </c>
      <c r="G68">
        <v>23.47823</v>
      </c>
      <c r="H68">
        <v>2.8477380000000001</v>
      </c>
      <c r="I68">
        <v>42.574489999999997</v>
      </c>
      <c r="K68">
        <v>3.017566</v>
      </c>
      <c r="L68">
        <v>3.8263860000000002E-3</v>
      </c>
      <c r="N68">
        <v>652.06650000000002</v>
      </c>
      <c r="O68" s="4">
        <v>-4.8194110000000003E-8</v>
      </c>
    </row>
    <row r="69" spans="2:15" x14ac:dyDescent="0.55000000000000004">
      <c r="B69">
        <v>3.0916640000000002</v>
      </c>
      <c r="C69">
        <v>0.13915530000000001</v>
      </c>
      <c r="D69">
        <v>3.0667059999999999</v>
      </c>
      <c r="E69">
        <v>3.8012100000000002</v>
      </c>
      <c r="F69">
        <v>2.9650189999999998</v>
      </c>
      <c r="G69">
        <v>23.794499999999999</v>
      </c>
      <c r="H69">
        <v>2.8924780000000001</v>
      </c>
      <c r="I69">
        <v>43.178420000000003</v>
      </c>
      <c r="K69">
        <v>3.0635759999999999</v>
      </c>
      <c r="L69">
        <v>4.2166240000000004E-3</v>
      </c>
      <c r="N69">
        <v>662.11789999999996</v>
      </c>
      <c r="O69" s="4">
        <v>-4.6177780000000001E-8</v>
      </c>
    </row>
    <row r="70" spans="2:15" x14ac:dyDescent="0.55000000000000004">
      <c r="B70">
        <v>3.141032</v>
      </c>
      <c r="C70">
        <v>0.13481779999999999</v>
      </c>
      <c r="D70">
        <v>3.1155149999999998</v>
      </c>
      <c r="E70">
        <v>3.8369110000000002</v>
      </c>
      <c r="F70">
        <v>3.0099749999999998</v>
      </c>
      <c r="G70">
        <v>24.101600000000001</v>
      </c>
      <c r="H70">
        <v>2.928404</v>
      </c>
      <c r="I70">
        <v>43.643219999999999</v>
      </c>
      <c r="K70">
        <v>3.109801</v>
      </c>
      <c r="L70">
        <v>4.6135569999999999E-3</v>
      </c>
      <c r="N70">
        <v>672.12180000000001</v>
      </c>
      <c r="O70" s="4">
        <v>-4.5785709999999997E-8</v>
      </c>
    </row>
    <row r="71" spans="2:15" x14ac:dyDescent="0.55000000000000004">
      <c r="B71">
        <v>3.1873870000000002</v>
      </c>
      <c r="C71">
        <v>0.1393221</v>
      </c>
      <c r="D71">
        <v>3.1622590000000002</v>
      </c>
      <c r="E71">
        <v>3.879953</v>
      </c>
      <c r="F71">
        <v>3.058891</v>
      </c>
      <c r="G71">
        <v>24.418050000000001</v>
      </c>
      <c r="H71">
        <v>2.9518900000000001</v>
      </c>
      <c r="I71">
        <v>43.9617</v>
      </c>
      <c r="K71">
        <v>3.1554319999999998</v>
      </c>
      <c r="L71">
        <v>5.0026150000000002E-3</v>
      </c>
      <c r="N71">
        <v>682.16610000000003</v>
      </c>
      <c r="O71" s="4">
        <v>-4.3246629999999998E-8</v>
      </c>
    </row>
    <row r="72" spans="2:15" x14ac:dyDescent="0.55000000000000004">
      <c r="B72">
        <v>3.274184</v>
      </c>
      <c r="C72">
        <v>0.1354851</v>
      </c>
      <c r="D72">
        <v>3.2489979999999998</v>
      </c>
      <c r="E72">
        <v>3.9570280000000002</v>
      </c>
      <c r="F72">
        <v>3.1466829999999999</v>
      </c>
      <c r="G72">
        <v>25.07779</v>
      </c>
      <c r="H72">
        <v>3.009684</v>
      </c>
      <c r="I72">
        <v>44.887949999999996</v>
      </c>
      <c r="K72">
        <v>3.2038660000000001</v>
      </c>
      <c r="L72">
        <v>5.4007289999999999E-3</v>
      </c>
      <c r="N72">
        <v>692.22270000000003</v>
      </c>
      <c r="O72" s="4">
        <v>-4.214511E-8</v>
      </c>
    </row>
    <row r="73" spans="2:15" x14ac:dyDescent="0.55000000000000004">
      <c r="B73">
        <v>3.281714</v>
      </c>
      <c r="C73">
        <v>0.1406567</v>
      </c>
      <c r="D73">
        <v>3.252624</v>
      </c>
      <c r="E73">
        <v>3.9692059999999998</v>
      </c>
      <c r="F73">
        <v>3.150811</v>
      </c>
      <c r="G73">
        <v>25.036919999999999</v>
      </c>
      <c r="H73">
        <v>2.9867560000000002</v>
      </c>
      <c r="I73">
        <v>44.427160000000001</v>
      </c>
      <c r="K73">
        <v>3.24939</v>
      </c>
      <c r="L73">
        <v>5.762222E-3</v>
      </c>
      <c r="N73">
        <v>702.2183</v>
      </c>
      <c r="O73" s="4">
        <v>-3.9998090000000001E-8</v>
      </c>
    </row>
    <row r="74" spans="2:15" x14ac:dyDescent="0.55000000000000004">
      <c r="B74">
        <v>3.3273440000000001</v>
      </c>
      <c r="C74">
        <v>0.14416010000000001</v>
      </c>
      <c r="D74">
        <v>3.300818</v>
      </c>
      <c r="E74">
        <v>4.0107460000000001</v>
      </c>
      <c r="F74">
        <v>3.196269</v>
      </c>
      <c r="G74">
        <v>25.351870000000002</v>
      </c>
      <c r="H74">
        <v>2.9997539999999998</v>
      </c>
      <c r="I74">
        <v>44.616520000000001</v>
      </c>
      <c r="K74">
        <v>3.295884</v>
      </c>
      <c r="L74">
        <v>6.0886680000000002E-3</v>
      </c>
      <c r="N74">
        <v>712.27940000000001</v>
      </c>
      <c r="O74" s="4">
        <v>-3.7272300000000001E-8</v>
      </c>
    </row>
    <row r="75" spans="2:15" x14ac:dyDescent="0.55000000000000004">
      <c r="B75">
        <v>3.375429</v>
      </c>
      <c r="C75">
        <v>0.14382639999999999</v>
      </c>
      <c r="D75">
        <v>3.348176</v>
      </c>
      <c r="E75">
        <v>4.0512860000000002</v>
      </c>
      <c r="F75">
        <v>3.2415600000000002</v>
      </c>
      <c r="G75">
        <v>25.660299999999999</v>
      </c>
      <c r="H75">
        <v>3.0115799999999999</v>
      </c>
      <c r="I75">
        <v>44.777509999999999</v>
      </c>
      <c r="K75">
        <v>3.3903289999999999</v>
      </c>
      <c r="L75">
        <v>6.4265329999999999E-3</v>
      </c>
      <c r="N75">
        <v>722.32360000000006</v>
      </c>
      <c r="O75" s="4">
        <v>-3.4266470000000002E-8</v>
      </c>
    </row>
    <row r="76" spans="2:15" x14ac:dyDescent="0.55000000000000004">
      <c r="B76">
        <v>3.420445</v>
      </c>
      <c r="C76">
        <v>0.15233459999999999</v>
      </c>
      <c r="D76">
        <v>3.3949210000000001</v>
      </c>
      <c r="E76">
        <v>4.0928259999999996</v>
      </c>
      <c r="F76">
        <v>3.2880219999999998</v>
      </c>
      <c r="G76">
        <v>25.980250000000002</v>
      </c>
      <c r="H76">
        <v>3.0207850000000001</v>
      </c>
      <c r="I76">
        <v>44.936839999999997</v>
      </c>
      <c r="K76">
        <v>3.3892509999999998</v>
      </c>
      <c r="L76">
        <v>6.7171449999999999E-3</v>
      </c>
      <c r="N76">
        <v>732.32069999999999</v>
      </c>
      <c r="O76" s="4">
        <v>-3.1465999999999999E-8</v>
      </c>
    </row>
    <row r="77" spans="2:15" x14ac:dyDescent="0.55000000000000004">
      <c r="B77">
        <v>3.4681389999999999</v>
      </c>
      <c r="C77">
        <v>0.14899809999999999</v>
      </c>
      <c r="D77">
        <v>3.4403820000000001</v>
      </c>
      <c r="E77">
        <v>4.1348669999999998</v>
      </c>
      <c r="F77">
        <v>3.3316949999999999</v>
      </c>
      <c r="G77">
        <v>26.287680000000002</v>
      </c>
      <c r="H77">
        <v>3.0304920000000002</v>
      </c>
      <c r="I77">
        <v>45.054450000000003</v>
      </c>
      <c r="K77">
        <v>3.435476</v>
      </c>
      <c r="L77">
        <v>7.0010619999999997E-3</v>
      </c>
      <c r="N77">
        <v>742.37599999999998</v>
      </c>
      <c r="O77" s="4">
        <v>-2.6947919999999998E-8</v>
      </c>
    </row>
    <row r="78" spans="2:15" x14ac:dyDescent="0.55000000000000004">
      <c r="B78">
        <v>3.5136569999999998</v>
      </c>
      <c r="C78">
        <v>0.15517069999999999</v>
      </c>
      <c r="D78">
        <v>3.4874610000000001</v>
      </c>
      <c r="E78">
        <v>4.1750730000000003</v>
      </c>
      <c r="F78">
        <v>3.378212</v>
      </c>
      <c r="G78">
        <v>26.60079</v>
      </c>
      <c r="H78">
        <v>3.0379109999999998</v>
      </c>
      <c r="I78">
        <v>45.172409999999999</v>
      </c>
      <c r="K78">
        <v>3.4814289999999999</v>
      </c>
      <c r="L78">
        <v>7.2412700000000002E-3</v>
      </c>
      <c r="N78">
        <v>752.42079999999999</v>
      </c>
      <c r="O78" s="4">
        <v>-2.3288639999999999E-8</v>
      </c>
    </row>
    <row r="79" spans="2:15" x14ac:dyDescent="0.55000000000000004">
      <c r="B79">
        <v>3.5626899999999999</v>
      </c>
      <c r="C79">
        <v>0.15316879999999999</v>
      </c>
      <c r="D79">
        <v>3.5328659999999998</v>
      </c>
      <c r="E79">
        <v>4.2262890000000004</v>
      </c>
      <c r="F79">
        <v>3.4227780000000001</v>
      </c>
      <c r="G79">
        <v>26.917069999999999</v>
      </c>
      <c r="H79">
        <v>3.047339</v>
      </c>
      <c r="I79">
        <v>45.292520000000003</v>
      </c>
      <c r="K79">
        <v>3.5277080000000001</v>
      </c>
      <c r="L79">
        <v>7.4456430000000001E-3</v>
      </c>
      <c r="N79">
        <v>762.43190000000004</v>
      </c>
      <c r="O79" s="4">
        <v>-1.8919920000000001E-8</v>
      </c>
    </row>
    <row r="80" spans="2:15" x14ac:dyDescent="0.55000000000000004">
      <c r="B80">
        <v>3.609324</v>
      </c>
      <c r="C80">
        <v>0.15366920000000001</v>
      </c>
      <c r="D80">
        <v>3.5787740000000001</v>
      </c>
      <c r="E80">
        <v>4.2661610000000003</v>
      </c>
      <c r="F80">
        <v>3.4686819999999998</v>
      </c>
      <c r="G80">
        <v>27.224499999999999</v>
      </c>
      <c r="H80">
        <v>3.0540889999999998</v>
      </c>
      <c r="I80">
        <v>45.390790000000003</v>
      </c>
      <c r="K80">
        <v>3.574417</v>
      </c>
      <c r="L80">
        <v>7.641353E-3</v>
      </c>
      <c r="N80">
        <v>772.47820000000002</v>
      </c>
      <c r="O80" s="4">
        <v>-1.292692E-8</v>
      </c>
    </row>
    <row r="81" spans="2:15" x14ac:dyDescent="0.55000000000000004">
      <c r="B81">
        <v>3.6553439999999999</v>
      </c>
      <c r="C81">
        <v>0.1571726</v>
      </c>
      <c r="D81">
        <v>3.626188</v>
      </c>
      <c r="E81">
        <v>4.3075349999999997</v>
      </c>
      <c r="F81">
        <v>3.5156459999999998</v>
      </c>
      <c r="G81">
        <v>27.530609999999999</v>
      </c>
      <c r="H81">
        <v>3.0598350000000001</v>
      </c>
      <c r="I81">
        <v>45.486879999999999</v>
      </c>
      <c r="K81">
        <v>3.6211280000000001</v>
      </c>
      <c r="L81">
        <v>7.7701200000000002E-3</v>
      </c>
      <c r="N81">
        <v>782.53160000000003</v>
      </c>
      <c r="O81" s="4">
        <v>-7.1206259999999996E-9</v>
      </c>
    </row>
    <row r="82" spans="2:15" x14ac:dyDescent="0.55000000000000004">
      <c r="B82">
        <v>3.7034280000000002</v>
      </c>
      <c r="C82">
        <v>0.15733939999999999</v>
      </c>
      <c r="D82">
        <v>3.6744940000000001</v>
      </c>
      <c r="E82">
        <v>4.347073</v>
      </c>
      <c r="F82">
        <v>3.5613830000000002</v>
      </c>
      <c r="G82">
        <v>27.833200000000001</v>
      </c>
      <c r="H82">
        <v>3.0685370000000001</v>
      </c>
      <c r="I82">
        <v>45.573970000000003</v>
      </c>
      <c r="K82">
        <v>3.6657329999999999</v>
      </c>
      <c r="L82">
        <v>7.8638400000000004E-3</v>
      </c>
      <c r="N82">
        <v>792.529</v>
      </c>
      <c r="O82" s="4">
        <v>-1.3890079999999999E-9</v>
      </c>
    </row>
    <row r="83" spans="2:15" x14ac:dyDescent="0.55000000000000004">
      <c r="B83">
        <v>3.748389</v>
      </c>
      <c r="C83">
        <v>0.15984190000000001</v>
      </c>
      <c r="D83">
        <v>3.7200669999999998</v>
      </c>
      <c r="E83">
        <v>4.3907819999999997</v>
      </c>
      <c r="F83">
        <v>3.6061160000000001</v>
      </c>
      <c r="G83">
        <v>28.14714</v>
      </c>
      <c r="H83">
        <v>3.0735579999999998</v>
      </c>
      <c r="I83">
        <v>45.654879999999999</v>
      </c>
      <c r="K83">
        <v>3.7140080000000002</v>
      </c>
      <c r="L83">
        <v>7.9351149999999995E-3</v>
      </c>
      <c r="N83">
        <v>802.58040000000005</v>
      </c>
      <c r="O83" s="5">
        <v>6.8256899999999998E-9</v>
      </c>
    </row>
    <row r="84" spans="2:15" x14ac:dyDescent="0.55000000000000004">
      <c r="B84">
        <v>3.795636</v>
      </c>
      <c r="C84">
        <v>0.16251109999999999</v>
      </c>
      <c r="D84">
        <v>3.76458</v>
      </c>
      <c r="E84">
        <v>4.4359929999999999</v>
      </c>
      <c r="F84">
        <v>3.6527449999999999</v>
      </c>
      <c r="G84">
        <v>28.455410000000001</v>
      </c>
      <c r="H84">
        <v>3.0797509999999999</v>
      </c>
      <c r="I84">
        <v>45.729959999999998</v>
      </c>
      <c r="K84">
        <v>3.8149790000000001</v>
      </c>
      <c r="L84">
        <v>7.9626790000000003E-3</v>
      </c>
      <c r="N84">
        <v>812.63900000000001</v>
      </c>
      <c r="O84" s="5">
        <v>1.5544470000000001E-8</v>
      </c>
    </row>
    <row r="85" spans="2:15" x14ac:dyDescent="0.55000000000000004">
      <c r="B85">
        <v>3.8437760000000001</v>
      </c>
      <c r="C85">
        <v>0.16267789999999999</v>
      </c>
      <c r="D85">
        <v>3.8143370000000001</v>
      </c>
      <c r="E85">
        <v>4.4726949999999999</v>
      </c>
      <c r="F85">
        <v>3.6983139999999999</v>
      </c>
      <c r="G85">
        <v>28.770019999999999</v>
      </c>
      <c r="H85">
        <v>3.0851060000000001</v>
      </c>
      <c r="I85">
        <v>45.810369999999999</v>
      </c>
      <c r="K85">
        <v>3.808074</v>
      </c>
      <c r="L85">
        <v>7.9870940000000001E-3</v>
      </c>
      <c r="N85">
        <v>822.64790000000005</v>
      </c>
      <c r="O85" s="5">
        <v>2.467399E-8</v>
      </c>
    </row>
    <row r="86" spans="2:15" x14ac:dyDescent="0.55000000000000004">
      <c r="B86">
        <v>3.8877329999999999</v>
      </c>
      <c r="C86">
        <v>0.17118610000000001</v>
      </c>
      <c r="D86">
        <v>3.8598539999999999</v>
      </c>
      <c r="E86">
        <v>4.5159029999999998</v>
      </c>
      <c r="F86">
        <v>3.742991</v>
      </c>
      <c r="G86">
        <v>29.08747</v>
      </c>
      <c r="H86">
        <v>3.0911309999999999</v>
      </c>
      <c r="I86">
        <v>45.881279999999997</v>
      </c>
      <c r="K86">
        <v>3.8549470000000001</v>
      </c>
      <c r="L86">
        <v>8.009146E-3</v>
      </c>
      <c r="N86">
        <v>832.68679999999995</v>
      </c>
      <c r="O86" s="5">
        <v>3.5819840000000001E-8</v>
      </c>
    </row>
    <row r="87" spans="2:15" x14ac:dyDescent="0.55000000000000004">
      <c r="B87">
        <v>3.936877</v>
      </c>
      <c r="C87">
        <v>0.16901730000000001</v>
      </c>
      <c r="D87">
        <v>3.9051480000000001</v>
      </c>
      <c r="E87">
        <v>4.5634490000000003</v>
      </c>
      <c r="F87">
        <v>3.7875009999999998</v>
      </c>
      <c r="G87">
        <v>29.386389999999999</v>
      </c>
      <c r="H87">
        <v>3.0938080000000001</v>
      </c>
      <c r="I87">
        <v>45.950009999999999</v>
      </c>
      <c r="K87">
        <v>3.9007930000000002</v>
      </c>
      <c r="L87">
        <v>8.0284410000000007E-3</v>
      </c>
      <c r="N87">
        <v>842.73360000000002</v>
      </c>
      <c r="O87" s="5">
        <v>4.8365919999999999E-8</v>
      </c>
    </row>
    <row r="88" spans="2:15" x14ac:dyDescent="0.55000000000000004">
      <c r="B88">
        <v>3.98312</v>
      </c>
      <c r="C88">
        <v>0.16985149999999999</v>
      </c>
      <c r="D88">
        <v>3.9531749999999999</v>
      </c>
      <c r="E88">
        <v>4.5974830000000004</v>
      </c>
      <c r="F88">
        <v>3.8359709999999998</v>
      </c>
      <c r="G88">
        <v>29.69717</v>
      </c>
      <c r="H88">
        <v>3.09816</v>
      </c>
      <c r="I88">
        <v>46.012569999999997</v>
      </c>
      <c r="K88">
        <v>3.9478279999999999</v>
      </c>
      <c r="L88">
        <v>8.0359230000000004E-3</v>
      </c>
      <c r="N88">
        <v>852.73350000000005</v>
      </c>
      <c r="O88" s="5">
        <v>6.1994850000000005E-8</v>
      </c>
    </row>
    <row r="89" spans="2:15" x14ac:dyDescent="0.55000000000000004">
      <c r="B89">
        <v>4.0302009999999999</v>
      </c>
      <c r="C89">
        <v>0.17318800000000001</v>
      </c>
      <c r="D89">
        <v>3.9998079999999998</v>
      </c>
      <c r="E89">
        <v>4.6433609999999996</v>
      </c>
      <c r="F89">
        <v>3.8791980000000001</v>
      </c>
      <c r="G89">
        <v>30.00076</v>
      </c>
      <c r="H89">
        <v>3.104352</v>
      </c>
      <c r="I89">
        <v>46.074629999999999</v>
      </c>
      <c r="K89">
        <v>3.9936729999999998</v>
      </c>
      <c r="L89">
        <v>8.0646699999999995E-3</v>
      </c>
      <c r="N89">
        <v>862.78909999999996</v>
      </c>
      <c r="O89" s="5">
        <v>7.6613279999999996E-8</v>
      </c>
    </row>
    <row r="90" spans="2:15" x14ac:dyDescent="0.55000000000000004">
      <c r="B90">
        <v>4.0777270000000003</v>
      </c>
      <c r="C90">
        <v>0.17402219999999999</v>
      </c>
      <c r="D90">
        <v>4.046106</v>
      </c>
      <c r="E90">
        <v>4.6847339999999997</v>
      </c>
      <c r="F90">
        <v>3.9245999999999999</v>
      </c>
      <c r="G90">
        <v>30.316379999999999</v>
      </c>
      <c r="H90">
        <v>3.108257</v>
      </c>
      <c r="I90">
        <v>46.133360000000003</v>
      </c>
      <c r="K90">
        <v>4.0403840000000004</v>
      </c>
      <c r="L90">
        <v>8.0737269999999993E-3</v>
      </c>
      <c r="N90">
        <v>872.84460000000001</v>
      </c>
      <c r="O90" s="5">
        <v>9.3098679999999996E-8</v>
      </c>
    </row>
    <row r="91" spans="2:15" x14ac:dyDescent="0.55000000000000004">
      <c r="B91">
        <v>4.1246400000000003</v>
      </c>
      <c r="C91">
        <v>0.17635770000000001</v>
      </c>
      <c r="D91">
        <v>4.0932969999999997</v>
      </c>
      <c r="E91">
        <v>4.7264410000000003</v>
      </c>
      <c r="F91">
        <v>3.9717310000000001</v>
      </c>
      <c r="G91">
        <v>30.629480000000001</v>
      </c>
      <c r="H91">
        <v>3.1123289999999999</v>
      </c>
      <c r="I91">
        <v>46.19209</v>
      </c>
      <c r="K91">
        <v>4.0863389999999997</v>
      </c>
      <c r="L91">
        <v>8.1016850000000008E-3</v>
      </c>
      <c r="N91">
        <v>882.83950000000004</v>
      </c>
      <c r="O91" s="5">
        <v>1.126646E-7</v>
      </c>
    </row>
    <row r="92" spans="2:15" x14ac:dyDescent="0.55000000000000004">
      <c r="B92">
        <v>4.1696</v>
      </c>
      <c r="C92">
        <v>0.1826972</v>
      </c>
      <c r="D92">
        <v>4.1399850000000002</v>
      </c>
      <c r="E92">
        <v>4.7671469999999996</v>
      </c>
      <c r="F92">
        <v>4.0173569999999996</v>
      </c>
      <c r="G92">
        <v>30.932580000000002</v>
      </c>
      <c r="H92">
        <v>3.1164019999999999</v>
      </c>
      <c r="I92">
        <v>46.242130000000003</v>
      </c>
      <c r="K92">
        <v>4.1314320000000002</v>
      </c>
      <c r="L92">
        <v>8.1363379999999999E-3</v>
      </c>
      <c r="N92">
        <v>892.88909999999998</v>
      </c>
      <c r="O92" s="5">
        <v>1.3353740000000001E-7</v>
      </c>
    </row>
    <row r="93" spans="2:15" x14ac:dyDescent="0.55000000000000004">
      <c r="B93">
        <v>4.2177410000000002</v>
      </c>
      <c r="C93">
        <v>0.1818631</v>
      </c>
      <c r="D93">
        <v>4.1844979999999996</v>
      </c>
      <c r="E93">
        <v>4.8136929999999998</v>
      </c>
      <c r="F93">
        <v>4.0640970000000003</v>
      </c>
      <c r="G93">
        <v>31.24052</v>
      </c>
      <c r="H93">
        <v>3.1203069999999999</v>
      </c>
      <c r="I93">
        <v>46.297020000000003</v>
      </c>
      <c r="K93">
        <v>4.2387129999999997</v>
      </c>
      <c r="L93">
        <v>8.1784730000000003E-3</v>
      </c>
      <c r="N93">
        <v>902.93449999999996</v>
      </c>
      <c r="O93" s="5">
        <v>1.561092E-7</v>
      </c>
    </row>
    <row r="94" spans="2:15" x14ac:dyDescent="0.55000000000000004">
      <c r="B94">
        <v>4.2656020000000003</v>
      </c>
      <c r="C94">
        <v>0.18102889999999999</v>
      </c>
      <c r="D94">
        <v>4.2319120000000003</v>
      </c>
      <c r="E94">
        <v>4.8555669999999997</v>
      </c>
      <c r="F94">
        <v>4.1092209999999998</v>
      </c>
      <c r="G94">
        <v>31.54495</v>
      </c>
      <c r="H94">
        <v>3.124825</v>
      </c>
      <c r="I94">
        <v>46.347740000000002</v>
      </c>
      <c r="K94">
        <v>4.2263599999999997</v>
      </c>
      <c r="L94">
        <v>8.2091879999999992E-3</v>
      </c>
      <c r="N94">
        <v>912.94039999999995</v>
      </c>
      <c r="O94" s="5">
        <v>1.8276959999999999E-7</v>
      </c>
    </row>
    <row r="95" spans="2:15" x14ac:dyDescent="0.55000000000000004">
      <c r="B95">
        <v>4.3643359999999998</v>
      </c>
      <c r="C95">
        <v>0.1796943</v>
      </c>
      <c r="D95">
        <v>4.3312569999999999</v>
      </c>
      <c r="E95">
        <v>4.9428179999999999</v>
      </c>
      <c r="F95">
        <v>4.212129</v>
      </c>
      <c r="G95">
        <v>32.304780000000001</v>
      </c>
      <c r="H95">
        <v>3.163262</v>
      </c>
      <c r="I95">
        <v>47.028419999999997</v>
      </c>
      <c r="K95">
        <v>4.272208</v>
      </c>
      <c r="L95">
        <v>8.2485660000000006E-3</v>
      </c>
      <c r="N95">
        <v>922.99540000000002</v>
      </c>
      <c r="O95" s="5">
        <v>2.1176370000000001E-7</v>
      </c>
    </row>
    <row r="96" spans="2:15" x14ac:dyDescent="0.55000000000000004">
      <c r="B96">
        <v>4.3576980000000001</v>
      </c>
      <c r="C96">
        <v>0.1892035</v>
      </c>
      <c r="D96">
        <v>4.325958</v>
      </c>
      <c r="E96">
        <v>4.9364780000000001</v>
      </c>
      <c r="F96">
        <v>4.2014189999999996</v>
      </c>
      <c r="G96">
        <v>32.164160000000003</v>
      </c>
      <c r="H96">
        <v>3.1300690000000002</v>
      </c>
      <c r="I96">
        <v>46.455179999999999</v>
      </c>
      <c r="K96">
        <v>4.3176220000000001</v>
      </c>
      <c r="L96">
        <v>8.288732E-3</v>
      </c>
      <c r="N96">
        <v>933.0471</v>
      </c>
      <c r="O96" s="5">
        <v>2.4436110000000002E-7</v>
      </c>
    </row>
    <row r="97" spans="2:15" x14ac:dyDescent="0.55000000000000004">
      <c r="B97">
        <v>4.4051689999999999</v>
      </c>
      <c r="C97">
        <v>0.18836929999999999</v>
      </c>
      <c r="D97">
        <v>4.3702480000000001</v>
      </c>
      <c r="E97">
        <v>4.982189</v>
      </c>
      <c r="F97">
        <v>4.2471009999999998</v>
      </c>
      <c r="G97">
        <v>32.465260000000001</v>
      </c>
      <c r="H97">
        <v>3.1326909999999999</v>
      </c>
      <c r="I97">
        <v>46.489539999999998</v>
      </c>
      <c r="K97">
        <v>4.3642260000000004</v>
      </c>
      <c r="L97">
        <v>8.3328359999999997E-3</v>
      </c>
      <c r="N97">
        <v>943.04390000000001</v>
      </c>
      <c r="O97" s="5">
        <v>2.8037509999999999E-7</v>
      </c>
    </row>
    <row r="98" spans="2:15" x14ac:dyDescent="0.55000000000000004">
      <c r="B98">
        <v>4.4501850000000003</v>
      </c>
      <c r="C98">
        <v>0.19570969999999999</v>
      </c>
      <c r="D98">
        <v>4.4187770000000004</v>
      </c>
      <c r="E98">
        <v>5.0212269999999997</v>
      </c>
      <c r="F98">
        <v>4.2932829999999997</v>
      </c>
      <c r="G98">
        <v>32.775689999999997</v>
      </c>
      <c r="H98">
        <v>3.135313</v>
      </c>
      <c r="I98">
        <v>46.535420000000002</v>
      </c>
      <c r="K98">
        <v>4.411473</v>
      </c>
      <c r="L98">
        <v>8.3627630000000005E-3</v>
      </c>
      <c r="N98">
        <v>953.08889999999997</v>
      </c>
      <c r="O98" s="5">
        <v>3.2118719999999999E-7</v>
      </c>
    </row>
    <row r="99" spans="2:15" x14ac:dyDescent="0.55000000000000004">
      <c r="B99">
        <v>4.5005559999999996</v>
      </c>
      <c r="C99">
        <v>0.1902044</v>
      </c>
      <c r="D99">
        <v>4.4658009999999999</v>
      </c>
      <c r="E99">
        <v>5.0626009999999999</v>
      </c>
      <c r="F99">
        <v>4.3389090000000001</v>
      </c>
      <c r="G99">
        <v>33.085129999999999</v>
      </c>
      <c r="H99">
        <v>3.1392739999999999</v>
      </c>
      <c r="I99">
        <v>46.582470000000001</v>
      </c>
      <c r="K99">
        <v>4.4572659999999997</v>
      </c>
      <c r="L99">
        <v>8.3978089999999991E-3</v>
      </c>
      <c r="N99">
        <v>963.14359999999999</v>
      </c>
      <c r="O99" s="5">
        <v>3.673576E-7</v>
      </c>
    </row>
    <row r="100" spans="2:15" x14ac:dyDescent="0.55000000000000004">
      <c r="B100">
        <v>4.546856</v>
      </c>
      <c r="C100">
        <v>0.19253999999999999</v>
      </c>
      <c r="D100">
        <v>4.5110390000000002</v>
      </c>
      <c r="E100">
        <v>5.1088120000000004</v>
      </c>
      <c r="F100">
        <v>4.3847579999999997</v>
      </c>
      <c r="G100">
        <v>33.396239999999999</v>
      </c>
      <c r="H100">
        <v>3.143904</v>
      </c>
      <c r="I100">
        <v>46.62068</v>
      </c>
      <c r="K100">
        <v>4.5030070000000002</v>
      </c>
      <c r="L100">
        <v>8.4285239999999997E-3</v>
      </c>
      <c r="N100">
        <v>973.14940000000001</v>
      </c>
      <c r="O100" s="5">
        <v>4.1785930000000001E-7</v>
      </c>
    </row>
    <row r="101" spans="2:15" x14ac:dyDescent="0.55000000000000004">
      <c r="B101">
        <v>4.5931550000000003</v>
      </c>
      <c r="C101">
        <v>0.19554289999999999</v>
      </c>
      <c r="D101">
        <v>4.5566120000000003</v>
      </c>
      <c r="E101">
        <v>5.14785</v>
      </c>
      <c r="F101">
        <v>4.4302710000000003</v>
      </c>
      <c r="G101">
        <v>33.698500000000003</v>
      </c>
      <c r="H101">
        <v>3.147586</v>
      </c>
      <c r="I101">
        <v>46.656379999999999</v>
      </c>
      <c r="K101">
        <v>4.5493389999999998</v>
      </c>
      <c r="L101">
        <v>8.4679019999999994E-3</v>
      </c>
      <c r="N101">
        <v>983.20050000000003</v>
      </c>
      <c r="O101" s="5">
        <v>4.737752E-7</v>
      </c>
    </row>
    <row r="102" spans="2:15" x14ac:dyDescent="0.55000000000000004">
      <c r="B102">
        <v>4.6382269999999997</v>
      </c>
      <c r="C102">
        <v>0.20271649999999999</v>
      </c>
      <c r="D102">
        <v>4.6058659999999998</v>
      </c>
      <c r="E102">
        <v>5.187055</v>
      </c>
      <c r="F102">
        <v>4.4757850000000001</v>
      </c>
      <c r="G102">
        <v>34.013770000000001</v>
      </c>
      <c r="H102">
        <v>3.1497060000000001</v>
      </c>
      <c r="I102">
        <v>46.690910000000002</v>
      </c>
      <c r="K102">
        <v>4.661098</v>
      </c>
      <c r="L102">
        <v>8.4966490000000002E-3</v>
      </c>
      <c r="N102">
        <v>993.19970000000001</v>
      </c>
      <c r="O102" s="5">
        <v>5.3766319999999997E-7</v>
      </c>
    </row>
    <row r="103" spans="2:15" x14ac:dyDescent="0.55000000000000004">
      <c r="N103">
        <v>1003.251</v>
      </c>
      <c r="O103" s="5">
        <v>6.0795490000000003E-7</v>
      </c>
    </row>
    <row r="104" spans="2:15" x14ac:dyDescent="0.55000000000000004">
      <c r="N104">
        <v>1013.297</v>
      </c>
      <c r="O104" s="5">
        <v>6.8646119999999998E-7</v>
      </c>
    </row>
    <row r="105" spans="2:15" x14ac:dyDescent="0.55000000000000004">
      <c r="N105">
        <v>1023.309</v>
      </c>
      <c r="O105" s="5">
        <v>7.7359309999999995E-7</v>
      </c>
    </row>
    <row r="106" spans="2:15" x14ac:dyDescent="0.55000000000000004">
      <c r="N106">
        <v>1033.3510000000001</v>
      </c>
      <c r="O106" s="5">
        <v>8.7282289999999999E-7</v>
      </c>
    </row>
    <row r="107" spans="2:15" x14ac:dyDescent="0.55000000000000004">
      <c r="N107">
        <v>1043.405</v>
      </c>
      <c r="O107" s="5">
        <v>9.8291839999999998E-7</v>
      </c>
    </row>
    <row r="108" spans="2:15" x14ac:dyDescent="0.55000000000000004">
      <c r="N108">
        <v>1053.405</v>
      </c>
      <c r="O108" s="5">
        <v>1.1053729999999999E-6</v>
      </c>
    </row>
    <row r="109" spans="2:15" x14ac:dyDescent="0.55000000000000004">
      <c r="N109">
        <v>1063.4459999999999</v>
      </c>
      <c r="O109" s="5">
        <v>1.2416999999999999E-6</v>
      </c>
    </row>
    <row r="110" spans="2:15" x14ac:dyDescent="0.55000000000000004">
      <c r="N110">
        <v>1073.508</v>
      </c>
      <c r="O110" s="5">
        <v>1.395446E-6</v>
      </c>
    </row>
    <row r="111" spans="2:15" x14ac:dyDescent="0.55000000000000004">
      <c r="N111">
        <v>1083.5039999999999</v>
      </c>
      <c r="O111" s="5">
        <v>1.5644819999999999E-6</v>
      </c>
    </row>
    <row r="112" spans="2:15" x14ac:dyDescent="0.55000000000000004">
      <c r="N112">
        <v>1093.559</v>
      </c>
      <c r="O112" s="5">
        <v>1.7556969999999999E-6</v>
      </c>
    </row>
    <row r="113" spans="14:15" x14ac:dyDescent="0.55000000000000004">
      <c r="N113">
        <v>1103.607</v>
      </c>
      <c r="O113" s="5">
        <v>1.969242E-6</v>
      </c>
    </row>
    <row r="114" spans="14:15" x14ac:dyDescent="0.55000000000000004">
      <c r="N114">
        <v>1113.6120000000001</v>
      </c>
      <c r="O114" s="5">
        <v>2.2069079999999998E-6</v>
      </c>
    </row>
    <row r="115" spans="14:15" x14ac:dyDescent="0.55000000000000004">
      <c r="N115">
        <v>1123.663</v>
      </c>
      <c r="O115" s="5">
        <v>2.4750250000000001E-6</v>
      </c>
    </row>
    <row r="116" spans="14:15" x14ac:dyDescent="0.55000000000000004">
      <c r="N116">
        <v>1133.7190000000001</v>
      </c>
      <c r="O116" s="5">
        <v>2.7746559999999999E-6</v>
      </c>
    </row>
    <row r="117" spans="14:15" x14ac:dyDescent="0.55000000000000004">
      <c r="N117">
        <v>1143.7149999999999</v>
      </c>
      <c r="O117" s="5">
        <v>3.1089570000000001E-6</v>
      </c>
    </row>
    <row r="118" spans="14:15" x14ac:dyDescent="0.55000000000000004">
      <c r="N118">
        <v>1153.7670000000001</v>
      </c>
      <c r="O118" s="5">
        <v>3.4867769999999998E-6</v>
      </c>
    </row>
    <row r="119" spans="14:15" x14ac:dyDescent="0.55000000000000004">
      <c r="N119">
        <v>1163.8109999999999</v>
      </c>
      <c r="O119" s="5">
        <v>3.9092739999999997E-6</v>
      </c>
    </row>
    <row r="120" spans="14:15" x14ac:dyDescent="0.55000000000000004">
      <c r="N120">
        <v>1173.82</v>
      </c>
      <c r="O120" s="5">
        <v>4.3886949999999997E-6</v>
      </c>
    </row>
    <row r="121" spans="14:15" x14ac:dyDescent="0.55000000000000004">
      <c r="N121">
        <v>1183.876</v>
      </c>
      <c r="O121" s="5">
        <v>4.9201490000000004E-6</v>
      </c>
    </row>
    <row r="122" spans="14:15" x14ac:dyDescent="0.55000000000000004">
      <c r="N122">
        <v>1193.9190000000001</v>
      </c>
      <c r="O122" s="5">
        <v>5.5224540000000001E-6</v>
      </c>
    </row>
    <row r="123" spans="14:15" x14ac:dyDescent="0.55000000000000004">
      <c r="N123">
        <v>1203.923</v>
      </c>
      <c r="O123" s="5">
        <v>6.198337E-6</v>
      </c>
    </row>
    <row r="124" spans="14:15" x14ac:dyDescent="0.55000000000000004">
      <c r="N124">
        <v>1213.9680000000001</v>
      </c>
      <c r="O124" s="5">
        <v>6.9690429999999998E-6</v>
      </c>
    </row>
    <row r="125" spans="14:15" x14ac:dyDescent="0.55000000000000004">
      <c r="N125">
        <v>1224.0229999999999</v>
      </c>
      <c r="O125" s="5">
        <v>7.8389420000000003E-6</v>
      </c>
    </row>
    <row r="126" spans="14:15" x14ac:dyDescent="0.55000000000000004">
      <c r="N126">
        <v>1234.028</v>
      </c>
      <c r="O126" s="5">
        <v>8.8219799999999999E-6</v>
      </c>
    </row>
    <row r="127" spans="14:15" x14ac:dyDescent="0.55000000000000004">
      <c r="N127">
        <v>1244.076</v>
      </c>
      <c r="O127" s="5">
        <v>9.9414570000000003E-6</v>
      </c>
    </row>
    <row r="128" spans="14:15" x14ac:dyDescent="0.55000000000000004">
      <c r="N128">
        <v>1254.123</v>
      </c>
      <c r="O128" s="5">
        <v>1.12062E-5</v>
      </c>
    </row>
    <row r="129" spans="14:15" x14ac:dyDescent="0.55000000000000004">
      <c r="N129">
        <v>1264.127</v>
      </c>
      <c r="O129" s="5">
        <v>1.264723E-5</v>
      </c>
    </row>
    <row r="130" spans="14:15" x14ac:dyDescent="0.55000000000000004">
      <c r="N130">
        <v>1274.173</v>
      </c>
      <c r="O130" s="5">
        <v>1.4306300000000001E-5</v>
      </c>
    </row>
    <row r="131" spans="14:15" x14ac:dyDescent="0.55000000000000004">
      <c r="N131">
        <v>1284.231</v>
      </c>
      <c r="O131" s="5">
        <v>1.6206E-5</v>
      </c>
    </row>
    <row r="132" spans="14:15" x14ac:dyDescent="0.55000000000000004">
      <c r="N132">
        <v>1294.2270000000001</v>
      </c>
      <c r="O132" s="5">
        <v>1.8377219999999999E-5</v>
      </c>
    </row>
    <row r="133" spans="14:15" x14ac:dyDescent="0.55000000000000004">
      <c r="N133">
        <v>1304.2760000000001</v>
      </c>
      <c r="O133" s="5">
        <v>2.087526E-5</v>
      </c>
    </row>
    <row r="134" spans="14:15" x14ac:dyDescent="0.55000000000000004">
      <c r="N134">
        <v>1314.3330000000001</v>
      </c>
      <c r="O134" s="5">
        <v>2.380001E-5</v>
      </c>
    </row>
    <row r="135" spans="14:15" x14ac:dyDescent="0.55000000000000004">
      <c r="N135">
        <v>1324.327</v>
      </c>
      <c r="O135" s="5">
        <v>2.7154349999999999E-5</v>
      </c>
    </row>
    <row r="136" spans="14:15" x14ac:dyDescent="0.55000000000000004">
      <c r="N136">
        <v>1334.3910000000001</v>
      </c>
      <c r="O136" s="5">
        <v>3.1108590000000002E-5</v>
      </c>
    </row>
    <row r="137" spans="14:15" x14ac:dyDescent="0.55000000000000004">
      <c r="N137">
        <v>1344.432</v>
      </c>
      <c r="O137" s="5">
        <v>3.573865E-5</v>
      </c>
    </row>
    <row r="138" spans="14:15" x14ac:dyDescent="0.55000000000000004">
      <c r="N138">
        <v>1354.442</v>
      </c>
      <c r="O138" s="5">
        <v>4.1211039999999998E-5</v>
      </c>
    </row>
    <row r="139" spans="14:15" x14ac:dyDescent="0.55000000000000004">
      <c r="N139">
        <v>1364.4849999999999</v>
      </c>
      <c r="O139" s="5">
        <v>4.7724579999999999E-5</v>
      </c>
    </row>
    <row r="140" spans="14:15" x14ac:dyDescent="0.55000000000000004">
      <c r="N140">
        <v>1374.5340000000001</v>
      </c>
      <c r="O140" s="5">
        <v>5.5526699999999998E-5</v>
      </c>
    </row>
    <row r="141" spans="14:15" x14ac:dyDescent="0.55000000000000004">
      <c r="N141">
        <v>1384.5419999999999</v>
      </c>
      <c r="O141" s="5">
        <v>6.4976330000000005E-5</v>
      </c>
    </row>
    <row r="142" spans="14:15" x14ac:dyDescent="0.55000000000000004">
      <c r="N142">
        <v>1394.6</v>
      </c>
      <c r="O142" s="5">
        <v>7.6577819999999999E-5</v>
      </c>
    </row>
    <row r="143" spans="14:15" x14ac:dyDescent="0.55000000000000004">
      <c r="N143">
        <v>1404.6389999999999</v>
      </c>
      <c r="O143" s="5">
        <v>9.1043109999999996E-5</v>
      </c>
    </row>
    <row r="144" spans="14:15" x14ac:dyDescent="0.55000000000000004">
      <c r="N144">
        <v>1412.4449999999999</v>
      </c>
      <c r="O144" s="5">
        <v>1.0484330000000001E-4</v>
      </c>
    </row>
  </sheetData>
  <phoneticPr fontId="1"/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9C09B-2BF7-4DAF-8457-FDB68632977B}">
  <dimension ref="B1:Q17"/>
  <sheetViews>
    <sheetView topLeftCell="B1" zoomScale="82" workbookViewId="0">
      <selection activeCell="F18" sqref="F18"/>
    </sheetView>
  </sheetViews>
  <sheetFormatPr defaultRowHeight="18" x14ac:dyDescent="0.55000000000000004"/>
  <cols>
    <col min="1" max="1" width="2.08203125" customWidth="1"/>
    <col min="2" max="2" width="18.75" customWidth="1"/>
    <col min="4" max="6" width="18.75" customWidth="1"/>
    <col min="15" max="17" width="13.08203125" customWidth="1"/>
  </cols>
  <sheetData>
    <row r="1" spans="2:17" ht="7.5" customHeight="1" x14ac:dyDescent="0.55000000000000004"/>
    <row r="2" spans="2:17" x14ac:dyDescent="0.55000000000000004">
      <c r="C2" s="1"/>
      <c r="D2" t="s">
        <v>9</v>
      </c>
      <c r="E2" t="s">
        <v>10</v>
      </c>
      <c r="F2" t="s">
        <v>11</v>
      </c>
      <c r="H2" s="7" t="s">
        <v>31</v>
      </c>
      <c r="I2" s="7"/>
      <c r="J2" s="7"/>
      <c r="K2" s="7"/>
      <c r="L2" s="7"/>
      <c r="M2" s="7"/>
      <c r="N2" s="7"/>
      <c r="O2" s="7"/>
      <c r="P2" s="7"/>
      <c r="Q2" s="7"/>
    </row>
    <row r="3" spans="2:17" x14ac:dyDescent="0.55000000000000004">
      <c r="B3" t="s">
        <v>12</v>
      </c>
      <c r="C3" s="1" t="s">
        <v>13</v>
      </c>
      <c r="D3" s="6">
        <v>672.11040000000003</v>
      </c>
      <c r="E3" s="3">
        <v>1064.1300000000001</v>
      </c>
      <c r="F3" s="3">
        <v>1304.2760000000001</v>
      </c>
      <c r="I3" t="s">
        <v>19</v>
      </c>
      <c r="J3" t="s">
        <v>20</v>
      </c>
      <c r="O3" t="s">
        <v>25</v>
      </c>
      <c r="P3" t="s">
        <v>26</v>
      </c>
      <c r="Q3" t="s">
        <v>27</v>
      </c>
    </row>
    <row r="4" spans="2:17" x14ac:dyDescent="0.55000000000000004">
      <c r="B4" t="s">
        <v>14</v>
      </c>
      <c r="C4" s="1" t="s">
        <v>13</v>
      </c>
      <c r="D4">
        <f>N13</f>
        <v>3.2568664181178426</v>
      </c>
      <c r="E4">
        <f>N15</f>
        <v>4.0063546978540705</v>
      </c>
      <c r="F4">
        <f>N17</f>
        <v>2.8629757506597282</v>
      </c>
      <c r="H4" t="s">
        <v>21</v>
      </c>
      <c r="I4">
        <v>6.5325420000000003</v>
      </c>
      <c r="J4">
        <v>19.949639999999999</v>
      </c>
      <c r="K4" t="s">
        <v>22</v>
      </c>
      <c r="L4">
        <f>SLOPE(J4:J5, I4:I5)</f>
        <v>2.39495212669007</v>
      </c>
      <c r="M4" t="s">
        <v>24</v>
      </c>
      <c r="N4">
        <v>20</v>
      </c>
    </row>
    <row r="5" spans="2:17" x14ac:dyDescent="0.55000000000000004">
      <c r="B5" t="s">
        <v>15</v>
      </c>
      <c r="C5" s="1" t="s">
        <v>16</v>
      </c>
      <c r="D5" s="2">
        <f>$O$5</f>
        <v>327.67847800958054</v>
      </c>
      <c r="E5" s="2">
        <f>$O$7</f>
        <v>170.2978144445571</v>
      </c>
      <c r="F5" s="2">
        <f>$O$9</f>
        <v>62.997322682290012</v>
      </c>
      <c r="I5">
        <v>6.6258090000000003</v>
      </c>
      <c r="J5">
        <v>20.173010000000001</v>
      </c>
      <c r="K5" t="s">
        <v>23</v>
      </c>
      <c r="L5">
        <f>J4-I4*L4</f>
        <v>4.3045146444077957</v>
      </c>
      <c r="M5" t="s">
        <v>19</v>
      </c>
      <c r="N5">
        <f>(N4-L5)/L4</f>
        <v>6.5535695601916109</v>
      </c>
      <c r="O5">
        <v>327.67847800958054</v>
      </c>
      <c r="P5">
        <v>0.17799999999999999</v>
      </c>
      <c r="Q5">
        <f>O5*P5</f>
        <v>58.326769085705337</v>
      </c>
    </row>
    <row r="6" spans="2:17" x14ac:dyDescent="0.55000000000000004">
      <c r="B6" t="s">
        <v>17</v>
      </c>
      <c r="C6" s="1" t="s">
        <v>18</v>
      </c>
      <c r="D6" s="2">
        <f>$Q$5</f>
        <v>58.326769085705337</v>
      </c>
      <c r="E6" s="2">
        <f>$Q$7</f>
        <v>24.352587465571663</v>
      </c>
      <c r="F6" s="2">
        <f>$Q$9</f>
        <v>3.439653818453035</v>
      </c>
      <c r="H6" t="s">
        <v>28</v>
      </c>
      <c r="I6">
        <v>2.4665240000000002</v>
      </c>
      <c r="J6">
        <v>13.93153</v>
      </c>
      <c r="K6" t="s">
        <v>22</v>
      </c>
      <c r="L6">
        <f>SLOPE(J6:J7, I6:I7)</f>
        <v>12.149544222714971</v>
      </c>
      <c r="M6" t="s">
        <v>24</v>
      </c>
      <c r="N6">
        <v>15</v>
      </c>
    </row>
    <row r="7" spans="2:17" x14ac:dyDescent="0.55000000000000004">
      <c r="I7">
        <v>2.555822</v>
      </c>
      <c r="J7">
        <v>15.01646</v>
      </c>
      <c r="K7" t="s">
        <v>23</v>
      </c>
      <c r="L7">
        <f>J6-I6*L6</f>
        <v>-16.03561241438782</v>
      </c>
      <c r="M7" t="s">
        <v>19</v>
      </c>
      <c r="N7">
        <f>(N6-L7)/L6</f>
        <v>2.5544672166683564</v>
      </c>
      <c r="O7">
        <f>(N7/N6)*1000</f>
        <v>170.2978144445571</v>
      </c>
      <c r="P7">
        <v>0.14299999999999999</v>
      </c>
      <c r="Q7">
        <f>O7*P7</f>
        <v>24.352587465571663</v>
      </c>
    </row>
    <row r="8" spans="2:17" x14ac:dyDescent="0.55000000000000004">
      <c r="H8" t="s">
        <v>29</v>
      </c>
      <c r="I8">
        <v>1.5741499999999999</v>
      </c>
      <c r="J8">
        <v>24.98902</v>
      </c>
      <c r="K8" t="s">
        <v>22</v>
      </c>
      <c r="L8">
        <f>SLOPE(J8:J9, I8:I9)</f>
        <v>14.021787659612428</v>
      </c>
      <c r="M8" t="s">
        <v>24</v>
      </c>
      <c r="N8">
        <v>25</v>
      </c>
    </row>
    <row r="9" spans="2:17" x14ac:dyDescent="0.55000000000000004">
      <c r="I9">
        <v>1.618946</v>
      </c>
      <c r="J9">
        <v>25.617139999999999</v>
      </c>
      <c r="K9" t="s">
        <v>23</v>
      </c>
      <c r="L9">
        <f>J8-I8*L8</f>
        <v>2.9166229556210972</v>
      </c>
      <c r="M9" t="s">
        <v>19</v>
      </c>
      <c r="N9">
        <f>(N8-L9)/L8</f>
        <v>1.5749330670572501</v>
      </c>
      <c r="O9">
        <f>(N9/N8)*1000</f>
        <v>62.997322682290012</v>
      </c>
      <c r="P9">
        <v>5.4600000000000003E-2</v>
      </c>
      <c r="Q9">
        <f>O9*P9</f>
        <v>3.439653818453035</v>
      </c>
    </row>
    <row r="11" spans="2:17" x14ac:dyDescent="0.55000000000000004">
      <c r="H11" s="7" t="s">
        <v>30</v>
      </c>
      <c r="I11" s="7"/>
      <c r="J11" s="7"/>
      <c r="K11" s="7"/>
      <c r="L11" s="7"/>
      <c r="M11" s="7"/>
      <c r="N11" s="7"/>
      <c r="O11" s="7"/>
      <c r="P11" s="7"/>
      <c r="Q11" s="7"/>
    </row>
    <row r="12" spans="2:17" x14ac:dyDescent="0.55000000000000004">
      <c r="H12" t="s">
        <v>21</v>
      </c>
      <c r="I12">
        <v>3.249736</v>
      </c>
      <c r="J12">
        <v>2.3048320000000001E-3</v>
      </c>
      <c r="K12" t="s">
        <v>22</v>
      </c>
      <c r="L12">
        <f>SLOPE(J12:J13, I12:I13)</f>
        <v>2.7371185921288864E-2</v>
      </c>
      <c r="M12" t="s">
        <v>24</v>
      </c>
      <c r="N12">
        <v>2.5000000000000001E-3</v>
      </c>
    </row>
    <row r="13" spans="2:17" x14ac:dyDescent="0.55000000000000004">
      <c r="I13">
        <v>3.2954219999999999</v>
      </c>
      <c r="J13">
        <v>3.5553120000000001E-3</v>
      </c>
      <c r="K13" t="s">
        <v>23</v>
      </c>
      <c r="L13">
        <f>J12-I12*L12</f>
        <v>-8.6644296251105576E-2</v>
      </c>
      <c r="M13" t="s">
        <v>5</v>
      </c>
      <c r="N13">
        <f>(N12-L13)/L12</f>
        <v>3.2568664181178426</v>
      </c>
    </row>
    <row r="14" spans="2:17" x14ac:dyDescent="0.55000000000000004">
      <c r="H14" t="s">
        <v>28</v>
      </c>
      <c r="I14">
        <v>3.9941170000000001</v>
      </c>
      <c r="J14">
        <v>2.252085E-3</v>
      </c>
      <c r="K14" t="s">
        <v>22</v>
      </c>
      <c r="L14">
        <f>SLOPE(J14:J15, I14:I15)</f>
        <v>2.0258303723157789E-2</v>
      </c>
      <c r="M14" t="s">
        <v>24</v>
      </c>
      <c r="N14">
        <v>2.5000000000000001E-3</v>
      </c>
    </row>
    <row r="15" spans="2:17" x14ac:dyDescent="0.55000000000000004">
      <c r="I15">
        <v>4.039428</v>
      </c>
      <c r="J15">
        <v>3.1700090000000001E-3</v>
      </c>
      <c r="K15" t="s">
        <v>23</v>
      </c>
      <c r="L15">
        <f>J14-I14*L14</f>
        <v>-7.866195029182782E-2</v>
      </c>
      <c r="M15" t="s">
        <v>5</v>
      </c>
      <c r="N15">
        <f>(N14-L15)/L14</f>
        <v>4.0063546978540705</v>
      </c>
    </row>
    <row r="16" spans="2:17" x14ac:dyDescent="0.55000000000000004">
      <c r="H16" t="s">
        <v>29</v>
      </c>
      <c r="I16">
        <v>2.8321290000000001</v>
      </c>
      <c r="J16">
        <v>2.2355040000000001E-3</v>
      </c>
      <c r="K16" t="s">
        <v>22</v>
      </c>
      <c r="L16">
        <f>SLOPE(J16:J17, I16:I17)</f>
        <v>8.5745173913993923E-3</v>
      </c>
      <c r="M16" t="s">
        <v>24</v>
      </c>
      <c r="N16">
        <v>2.5000000000000001E-3</v>
      </c>
    </row>
    <row r="17" spans="9:14" x14ac:dyDescent="0.55000000000000004">
      <c r="I17">
        <v>2.8778700000000002</v>
      </c>
      <c r="J17">
        <v>2.627711E-3</v>
      </c>
      <c r="K17" t="s">
        <v>23</v>
      </c>
      <c r="L17">
        <f>J16-I16*L16</f>
        <v>-2.2048635365186572E-2</v>
      </c>
      <c r="M17" t="s">
        <v>5</v>
      </c>
      <c r="N17">
        <f>(N16-L17)/L16</f>
        <v>2.8629757506597282</v>
      </c>
    </row>
  </sheetData>
  <mergeCells count="2">
    <mergeCell ref="H2:Q2"/>
    <mergeCell ref="H11:Q11"/>
  </mergeCells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Si-MOS</vt:lpstr>
      <vt:lpstr>Si-IGBT</vt:lpstr>
      <vt:lpstr>SiC-MOS</vt:lpstr>
      <vt:lpstr>計算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mori</dc:creator>
  <cp:lastModifiedBy>八尋　優太</cp:lastModifiedBy>
  <dcterms:created xsi:type="dcterms:W3CDTF">2022-04-08T07:19:27Z</dcterms:created>
  <dcterms:modified xsi:type="dcterms:W3CDTF">2025-11-03T09:50:10Z</dcterms:modified>
</cp:coreProperties>
</file>